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df5r\Documents\rental_automation_v1\artifacts\"/>
    </mc:Choice>
  </mc:AlternateContent>
  <xr:revisionPtr revIDLastSave="0" documentId="13_ncr:1_{F9A0DA0F-4032-4D82-9E38-5CBAF79EECE3}" xr6:coauthVersionLast="47" xr6:coauthVersionMax="47" xr10:uidLastSave="{00000000-0000-0000-0000-000000000000}"/>
  <bookViews>
    <workbookView xWindow="-110" yWindow="-110" windowWidth="19420" windowHeight="11500" activeTab="1" xr2:uid="{1F707AB7-6C03-44A5-BA9A-694DAD01CD38}"/>
  </bookViews>
  <sheets>
    <sheet name="Main" sheetId="1" r:id="rId1"/>
    <sheet name="Security Deposit" sheetId="3" r:id="rId2"/>
    <sheet name="Lease Rent" sheetId="4" r:id="rId3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3" l="1"/>
  <c r="F31" i="4" l="1"/>
  <c r="E31" i="4"/>
  <c r="K31" i="4" s="1"/>
  <c r="C6" i="3"/>
  <c r="B9" i="3"/>
  <c r="B16" i="3"/>
  <c r="B17" i="3" s="1"/>
  <c r="C17" i="3" s="1"/>
  <c r="B8" i="3"/>
  <c r="B6" i="3"/>
  <c r="B5" i="3"/>
  <c r="H68" i="4"/>
  <c r="H67" i="4"/>
  <c r="A64" i="4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J34" i="4"/>
  <c r="J33" i="4"/>
  <c r="F33" i="4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E33" i="4"/>
  <c r="K33" i="4" s="1"/>
  <c r="L32" i="4"/>
  <c r="K32" i="4"/>
  <c r="A32" i="4"/>
  <c r="A33" i="4" s="1"/>
  <c r="J31" i="4"/>
  <c r="H31" i="4"/>
  <c r="C31" i="4"/>
  <c r="B32" i="4" s="1"/>
  <c r="C32" i="4" s="1"/>
  <c r="B33" i="4" s="1"/>
  <c r="C33" i="4" s="1"/>
  <c r="B34" i="4" s="1"/>
  <c r="C34" i="4" s="1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46" i="4" s="1"/>
  <c r="B47" i="4" s="1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59" i="4" s="1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B70" i="4" s="1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B81" i="4" s="1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B92" i="4" s="1"/>
  <c r="C92" i="4" s="1"/>
  <c r="B93" i="4" s="1"/>
  <c r="C93" i="4" s="1"/>
  <c r="B94" i="4" s="1"/>
  <c r="C94" i="4" s="1"/>
  <c r="B95" i="4" s="1"/>
  <c r="C95" i="4" s="1"/>
  <c r="B96" i="4" s="1"/>
  <c r="C96" i="4" s="1"/>
  <c r="B97" i="4" s="1"/>
  <c r="C97" i="4" s="1"/>
  <c r="B98" i="4" s="1"/>
  <c r="C98" i="4" s="1"/>
  <c r="B99" i="4" s="1"/>
  <c r="C99" i="4" s="1"/>
  <c r="B100" i="4" s="1"/>
  <c r="C100" i="4" s="1"/>
  <c r="B101" i="4" s="1"/>
  <c r="C101" i="4" s="1"/>
  <c r="B102" i="4" s="1"/>
  <c r="C102" i="4" s="1"/>
  <c r="G16" i="4"/>
  <c r="G17" i="4" s="1"/>
  <c r="B4" i="3"/>
  <c r="B6" i="1"/>
  <c r="C3" i="1"/>
  <c r="L33" i="4" l="1"/>
  <c r="M33" i="4" s="1"/>
  <c r="M32" i="4"/>
  <c r="L31" i="4"/>
  <c r="B18" i="3"/>
  <c r="A34" i="4"/>
  <c r="J35" i="4"/>
  <c r="E34" i="4"/>
  <c r="H69" i="4"/>
  <c r="G18" i="4"/>
  <c r="B7" i="3"/>
  <c r="M31" i="4" l="1"/>
  <c r="J36" i="4"/>
  <c r="K34" i="4"/>
  <c r="E35" i="4"/>
  <c r="H70" i="4"/>
  <c r="A35" i="4"/>
  <c r="L34" i="4"/>
  <c r="G19" i="4"/>
  <c r="J37" i="4" l="1"/>
  <c r="A36" i="4"/>
  <c r="H71" i="4"/>
  <c r="E36" i="4"/>
  <c r="L36" i="4" s="1"/>
  <c r="K35" i="4"/>
  <c r="M34" i="4"/>
  <c r="L35" i="4"/>
  <c r="G20" i="4"/>
  <c r="M35" i="4" l="1"/>
  <c r="J38" i="4"/>
  <c r="K36" i="4"/>
  <c r="E37" i="4"/>
  <c r="L37" i="4" s="1"/>
  <c r="H72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H17" i="4"/>
  <c r="G21" i="4"/>
  <c r="H73" i="4" l="1"/>
  <c r="H18" i="4"/>
  <c r="M36" i="4"/>
  <c r="J39" i="4"/>
  <c r="H15" i="4"/>
  <c r="H16" i="4"/>
  <c r="H20" i="4"/>
  <c r="K37" i="4"/>
  <c r="M37" i="4" s="1"/>
  <c r="E38" i="4"/>
  <c r="L38" i="4" s="1"/>
  <c r="H19" i="4"/>
  <c r="H21" i="4"/>
  <c r="K38" i="4" l="1"/>
  <c r="M38" i="4" s="1"/>
  <c r="E39" i="4"/>
  <c r="L39" i="4" s="1"/>
  <c r="O39" i="4" s="1"/>
  <c r="J40" i="4"/>
  <c r="H22" i="4"/>
  <c r="H74" i="4"/>
  <c r="D4" i="3" l="1"/>
  <c r="C4" i="3" s="1"/>
  <c r="B10" i="3"/>
  <c r="C18" i="3" s="1"/>
  <c r="B19" i="3" s="1"/>
  <c r="K39" i="4"/>
  <c r="E40" i="4"/>
  <c r="L40" i="4" s="1"/>
  <c r="H75" i="4"/>
  <c r="J41" i="4"/>
  <c r="D5" i="3" l="1"/>
  <c r="C5" i="3" s="1"/>
  <c r="C7" i="3" s="1"/>
  <c r="C11" i="3" s="1"/>
  <c r="J42" i="4"/>
  <c r="E41" i="4"/>
  <c r="K40" i="4"/>
  <c r="H76" i="4"/>
  <c r="M39" i="4"/>
  <c r="N39" i="4"/>
  <c r="D7" i="3" l="1"/>
  <c r="H77" i="4"/>
  <c r="M40" i="4"/>
  <c r="E42" i="4"/>
  <c r="L42" i="4" s="1"/>
  <c r="K41" i="4"/>
  <c r="J43" i="4"/>
  <c r="L41" i="4"/>
  <c r="J44" i="4" l="1"/>
  <c r="M41" i="4"/>
  <c r="K42" i="4"/>
  <c r="E43" i="4"/>
  <c r="H78" i="4"/>
  <c r="H79" i="4" l="1"/>
  <c r="K43" i="4"/>
  <c r="E44" i="4"/>
  <c r="L44" i="4" s="1"/>
  <c r="M42" i="4"/>
  <c r="J45" i="4"/>
  <c r="L43" i="4"/>
  <c r="J46" i="4" l="1"/>
  <c r="M43" i="4"/>
  <c r="E45" i="4"/>
  <c r="L45" i="4" s="1"/>
  <c r="K44" i="4"/>
  <c r="M44" i="4" s="1"/>
  <c r="H80" i="4"/>
  <c r="H81" i="4" l="1"/>
  <c r="E46" i="4"/>
  <c r="L46" i="4" s="1"/>
  <c r="K45" i="4"/>
  <c r="J47" i="4"/>
  <c r="J48" i="4" l="1"/>
  <c r="M45" i="4"/>
  <c r="K46" i="4"/>
  <c r="M46" i="4" s="1"/>
  <c r="E47" i="4"/>
  <c r="H82" i="4"/>
  <c r="H83" i="4" l="1"/>
  <c r="K47" i="4"/>
  <c r="E48" i="4"/>
  <c r="L48" i="4" s="1"/>
  <c r="J49" i="4"/>
  <c r="L47" i="4"/>
  <c r="M47" i="4" l="1"/>
  <c r="H84" i="4"/>
  <c r="J50" i="4"/>
  <c r="E49" i="4"/>
  <c r="L49" i="4" s="1"/>
  <c r="K48" i="4"/>
  <c r="M48" i="4" s="1"/>
  <c r="E50" i="4" l="1"/>
  <c r="L50" i="4" s="1"/>
  <c r="K49" i="4"/>
  <c r="M49" i="4" s="1"/>
  <c r="H85" i="4"/>
  <c r="J51" i="4"/>
  <c r="J52" i="4" l="1"/>
  <c r="H86" i="4"/>
  <c r="K50" i="4"/>
  <c r="M50" i="4" s="1"/>
  <c r="E51" i="4"/>
  <c r="K51" i="4" l="1"/>
  <c r="E52" i="4"/>
  <c r="L52" i="4" s="1"/>
  <c r="H87" i="4"/>
  <c r="J53" i="4"/>
  <c r="L51" i="4"/>
  <c r="O51" i="4" s="1"/>
  <c r="H88" i="4" l="1"/>
  <c r="J54" i="4"/>
  <c r="E53" i="4"/>
  <c r="K52" i="4"/>
  <c r="M51" i="4"/>
  <c r="N51" i="4"/>
  <c r="M52" i="4" l="1"/>
  <c r="E54" i="4"/>
  <c r="L54" i="4" s="1"/>
  <c r="K53" i="4"/>
  <c r="L53" i="4"/>
  <c r="J55" i="4"/>
  <c r="H89" i="4"/>
  <c r="K54" i="4" l="1"/>
  <c r="E55" i="4"/>
  <c r="L55" i="4"/>
  <c r="J56" i="4"/>
  <c r="M53" i="4"/>
  <c r="H90" i="4"/>
  <c r="H91" i="4" l="1"/>
  <c r="J57" i="4"/>
  <c r="K55" i="4"/>
  <c r="E56" i="4"/>
  <c r="L56" i="4" s="1"/>
  <c r="M54" i="4"/>
  <c r="E57" i="4" l="1"/>
  <c r="K56" i="4"/>
  <c r="M56" i="4" s="1"/>
  <c r="M55" i="4"/>
  <c r="J58" i="4"/>
  <c r="H92" i="4"/>
  <c r="E58" i="4" l="1"/>
  <c r="L58" i="4" s="1"/>
  <c r="K57" i="4"/>
  <c r="H93" i="4"/>
  <c r="L57" i="4"/>
  <c r="J59" i="4"/>
  <c r="J60" i="4" l="1"/>
  <c r="M57" i="4"/>
  <c r="H94" i="4"/>
  <c r="K58" i="4"/>
  <c r="M58" i="4" s="1"/>
  <c r="E59" i="4"/>
  <c r="K59" i="4" l="1"/>
  <c r="E60" i="4"/>
  <c r="L60" i="4" s="1"/>
  <c r="H95" i="4"/>
  <c r="J61" i="4"/>
  <c r="L59" i="4"/>
  <c r="J62" i="4" l="1"/>
  <c r="H96" i="4"/>
  <c r="E61" i="4"/>
  <c r="K60" i="4"/>
  <c r="M60" i="4" s="1"/>
  <c r="M59" i="4"/>
  <c r="E62" i="4" l="1"/>
  <c r="L62" i="4" s="1"/>
  <c r="K61" i="4"/>
  <c r="H97" i="4"/>
  <c r="L61" i="4"/>
  <c r="J63" i="4"/>
  <c r="M61" i="4" l="1"/>
  <c r="J64" i="4"/>
  <c r="H98" i="4"/>
  <c r="K62" i="4"/>
  <c r="M62" i="4" s="1"/>
  <c r="E63" i="4"/>
  <c r="K63" i="4" l="1"/>
  <c r="E64" i="4"/>
  <c r="L64" i="4" s="1"/>
  <c r="H99" i="4"/>
  <c r="J65" i="4"/>
  <c r="L63" i="4"/>
  <c r="O63" i="4" s="1"/>
  <c r="J66" i="4" l="1"/>
  <c r="H100" i="4"/>
  <c r="K64" i="4"/>
  <c r="E65" i="4"/>
  <c r="M63" i="4"/>
  <c r="N63" i="4"/>
  <c r="M64" i="4" l="1"/>
  <c r="H101" i="4"/>
  <c r="E66" i="4"/>
  <c r="L66" i="4" s="1"/>
  <c r="K65" i="4"/>
  <c r="J67" i="4"/>
  <c r="L65" i="4"/>
  <c r="J68" i="4" l="1"/>
  <c r="M65" i="4"/>
  <c r="K66" i="4"/>
  <c r="E67" i="4"/>
  <c r="H102" i="4"/>
  <c r="M66" i="4" l="1"/>
  <c r="K67" i="4"/>
  <c r="E68" i="4"/>
  <c r="L67" i="4"/>
  <c r="L68" i="4"/>
  <c r="J69" i="4"/>
  <c r="J70" i="4" l="1"/>
  <c r="E69" i="4"/>
  <c r="K68" i="4"/>
  <c r="M67" i="4"/>
  <c r="M68" i="4" l="1"/>
  <c r="E70" i="4"/>
  <c r="L70" i="4" s="1"/>
  <c r="K69" i="4"/>
  <c r="J71" i="4"/>
  <c r="L69" i="4"/>
  <c r="J72" i="4" l="1"/>
  <c r="M69" i="4"/>
  <c r="E71" i="4"/>
  <c r="K70" i="4"/>
  <c r="M70" i="4" s="1"/>
  <c r="E72" i="4" l="1"/>
  <c r="L72" i="4" s="1"/>
  <c r="K71" i="4"/>
  <c r="J73" i="4"/>
  <c r="L71" i="4"/>
  <c r="J74" i="4" l="1"/>
  <c r="M71" i="4"/>
  <c r="E73" i="4"/>
  <c r="L73" i="4" s="1"/>
  <c r="K72" i="4"/>
  <c r="M72" i="4" s="1"/>
  <c r="E74" i="4" l="1"/>
  <c r="L74" i="4" s="1"/>
  <c r="K73" i="4"/>
  <c r="M73" i="4" s="1"/>
  <c r="J75" i="4"/>
  <c r="J76" i="4" l="1"/>
  <c r="E75" i="4"/>
  <c r="K74" i="4"/>
  <c r="M74" i="4" s="1"/>
  <c r="J77" i="4" l="1"/>
  <c r="E76" i="4"/>
  <c r="K75" i="4"/>
  <c r="L75" i="4"/>
  <c r="O75" i="4" s="1"/>
  <c r="J78" i="4" l="1"/>
  <c r="M75" i="4"/>
  <c r="N75" i="4"/>
  <c r="E77" i="4"/>
  <c r="K76" i="4"/>
  <c r="L76" i="4"/>
  <c r="M76" i="4" l="1"/>
  <c r="E78" i="4"/>
  <c r="L78" i="4" s="1"/>
  <c r="K77" i="4"/>
  <c r="J79" i="4"/>
  <c r="L77" i="4"/>
  <c r="J80" i="4" l="1"/>
  <c r="M77" i="4"/>
  <c r="E79" i="4"/>
  <c r="K78" i="4"/>
  <c r="M78" i="4" l="1"/>
  <c r="E80" i="4"/>
  <c r="L80" i="4" s="1"/>
  <c r="K79" i="4"/>
  <c r="L79" i="4"/>
  <c r="J81" i="4"/>
  <c r="J82" i="4" l="1"/>
  <c r="M79" i="4"/>
  <c r="E81" i="4"/>
  <c r="K80" i="4"/>
  <c r="M80" i="4" l="1"/>
  <c r="E82" i="4"/>
  <c r="L82" i="4" s="1"/>
  <c r="K81" i="4"/>
  <c r="J83" i="4"/>
  <c r="L81" i="4"/>
  <c r="J84" i="4" l="1"/>
  <c r="M81" i="4"/>
  <c r="E83" i="4"/>
  <c r="L83" i="4" s="1"/>
  <c r="K82" i="4"/>
  <c r="M82" i="4" s="1"/>
  <c r="E84" i="4" l="1"/>
  <c r="L84" i="4" s="1"/>
  <c r="K83" i="4"/>
  <c r="M83" i="4" s="1"/>
  <c r="J85" i="4"/>
  <c r="J86" i="4" l="1"/>
  <c r="E85" i="4"/>
  <c r="K84" i="4"/>
  <c r="M84" i="4" s="1"/>
  <c r="E86" i="4" l="1"/>
  <c r="L86" i="4" s="1"/>
  <c r="K85" i="4"/>
  <c r="L85" i="4"/>
  <c r="J87" i="4"/>
  <c r="J88" i="4" l="1"/>
  <c r="M85" i="4"/>
  <c r="E87" i="4"/>
  <c r="K86" i="4"/>
  <c r="M86" i="4" s="1"/>
  <c r="E88" i="4" l="1"/>
  <c r="L88" i="4" s="1"/>
  <c r="K87" i="4"/>
  <c r="J89" i="4"/>
  <c r="L87" i="4"/>
  <c r="O87" i="4" s="1"/>
  <c r="J90" i="4" l="1"/>
  <c r="M87" i="4"/>
  <c r="N87" i="4"/>
  <c r="E89" i="4"/>
  <c r="K88" i="4"/>
  <c r="E90" i="4" l="1"/>
  <c r="L90" i="4" s="1"/>
  <c r="K89" i="4"/>
  <c r="M88" i="4"/>
  <c r="J91" i="4"/>
  <c r="L89" i="4"/>
  <c r="M89" i="4" l="1"/>
  <c r="J92" i="4"/>
  <c r="E91" i="4"/>
  <c r="L91" i="4" s="1"/>
  <c r="K90" i="4"/>
  <c r="M90" i="4" l="1"/>
  <c r="E92" i="4"/>
  <c r="L92" i="4" s="1"/>
  <c r="K91" i="4"/>
  <c r="M91" i="4" s="1"/>
  <c r="J93" i="4"/>
  <c r="J94" i="4" l="1"/>
  <c r="E93" i="4"/>
  <c r="L93" i="4" s="1"/>
  <c r="K92" i="4"/>
  <c r="M92" i="4" l="1"/>
  <c r="E94" i="4"/>
  <c r="L94" i="4" s="1"/>
  <c r="K93" i="4"/>
  <c r="J95" i="4"/>
  <c r="M93" i="4" l="1"/>
  <c r="J96" i="4"/>
  <c r="E95" i="4"/>
  <c r="K94" i="4"/>
  <c r="M94" i="4" l="1"/>
  <c r="E96" i="4"/>
  <c r="L96" i="4" s="1"/>
  <c r="K95" i="4"/>
  <c r="J97" i="4"/>
  <c r="L95" i="4"/>
  <c r="J98" i="4" l="1"/>
  <c r="M95" i="4"/>
  <c r="E97" i="4"/>
  <c r="K96" i="4"/>
  <c r="M96" i="4" s="1"/>
  <c r="E98" i="4" l="1"/>
  <c r="L98" i="4" s="1"/>
  <c r="K97" i="4"/>
  <c r="L97" i="4"/>
  <c r="J99" i="4"/>
  <c r="M97" i="4" l="1"/>
  <c r="J100" i="4"/>
  <c r="E99" i="4"/>
  <c r="K98" i="4"/>
  <c r="M98" i="4" s="1"/>
  <c r="J101" i="4" l="1"/>
  <c r="E100" i="4"/>
  <c r="K99" i="4"/>
  <c r="L99" i="4"/>
  <c r="O99" i="4" s="1"/>
  <c r="J102" i="4" l="1"/>
  <c r="M99" i="4"/>
  <c r="N99" i="4"/>
  <c r="E101" i="4"/>
  <c r="K100" i="4"/>
  <c r="L100" i="4"/>
  <c r="M100" i="4" l="1"/>
  <c r="E102" i="4"/>
  <c r="K102" i="4" s="1"/>
  <c r="K101" i="4"/>
  <c r="L101" i="4"/>
  <c r="L102" i="4" l="1"/>
  <c r="O102" i="4" s="1"/>
  <c r="O103" i="4" s="1"/>
  <c r="L103" i="4"/>
  <c r="K103" i="4"/>
  <c r="M101" i="4"/>
  <c r="I15" i="4"/>
  <c r="I16" i="4"/>
  <c r="I17" i="4"/>
  <c r="I18" i="4"/>
  <c r="I19" i="4"/>
  <c r="I20" i="4"/>
  <c r="J15" i="4"/>
  <c r="J16" i="4"/>
  <c r="J17" i="4"/>
  <c r="J18" i="4"/>
  <c r="J19" i="4"/>
  <c r="J20" i="4"/>
  <c r="I21" i="4"/>
  <c r="N102" i="4"/>
  <c r="N103" i="4" s="1"/>
  <c r="J21" i="4" l="1"/>
  <c r="K21" i="4" s="1"/>
  <c r="M102" i="4"/>
  <c r="M103" i="4" s="1"/>
  <c r="K20" i="4"/>
  <c r="K19" i="4"/>
  <c r="K17" i="4"/>
  <c r="K18" i="4"/>
  <c r="K15" i="4"/>
  <c r="I22" i="4"/>
  <c r="K16" i="4"/>
  <c r="J22" i="4" l="1"/>
  <c r="K22" i="4"/>
</calcChain>
</file>

<file path=xl/sharedStrings.xml><?xml version="1.0" encoding="utf-8"?>
<sst xmlns="http://schemas.openxmlformats.org/spreadsheetml/2006/main" count="61" uniqueCount="52">
  <si>
    <t>Sq.ft.</t>
  </si>
  <si>
    <t>Sq.m.</t>
  </si>
  <si>
    <t>REU</t>
  </si>
  <si>
    <t>IN-CHEK2</t>
  </si>
  <si>
    <t>Chargeable Office Area</t>
  </si>
  <si>
    <t>Agreement Start Date</t>
  </si>
  <si>
    <t>Agreement End Date</t>
  </si>
  <si>
    <t>Agreement Period</t>
  </si>
  <si>
    <t xml:space="preserve">Quoted Rentals </t>
  </si>
  <si>
    <t>Quoted CAM</t>
  </si>
  <si>
    <t>Security Deposit</t>
  </si>
  <si>
    <t>Capex</t>
  </si>
  <si>
    <t>PM cost Over lease period</t>
  </si>
  <si>
    <t>Cost of Capital</t>
  </si>
  <si>
    <t>Imputed Interest</t>
  </si>
  <si>
    <t>Escalation Clause Rent</t>
  </si>
  <si>
    <t>15% every 3 years</t>
  </si>
  <si>
    <t>Escalation Clause CAM</t>
  </si>
  <si>
    <t>5% every years</t>
  </si>
  <si>
    <t>Rentals</t>
  </si>
  <si>
    <t>Year</t>
  </si>
  <si>
    <t>Months</t>
  </si>
  <si>
    <t>CAM</t>
  </si>
  <si>
    <t>Total</t>
  </si>
  <si>
    <t>Interest</t>
  </si>
  <si>
    <t>Remark</t>
  </si>
  <si>
    <t>Fitout Deposit</t>
  </si>
  <si>
    <t>Security deposit</t>
  </si>
  <si>
    <t>Additional deposit</t>
  </si>
  <si>
    <t>Additional deposit (Electricity)</t>
  </si>
  <si>
    <t>Area sqft</t>
  </si>
  <si>
    <t>Rate for Carrying Cost</t>
  </si>
  <si>
    <t>Term Period in Months</t>
  </si>
  <si>
    <t>Rate per Sqft</t>
  </si>
  <si>
    <t>From</t>
  </si>
  <si>
    <t>To</t>
  </si>
  <si>
    <t>Area in SQF</t>
  </si>
  <si>
    <t>Area in SQM</t>
  </si>
  <si>
    <t xml:space="preserve">Escalation </t>
  </si>
  <si>
    <t>Rental</t>
  </si>
  <si>
    <t>Car Parks per #</t>
  </si>
  <si>
    <t>Rental 
SQM</t>
  </si>
  <si>
    <t>CAM 
SQM</t>
  </si>
  <si>
    <t>Maintenance Security Deposit (number of months)</t>
  </si>
  <si>
    <t>Addnl.Deposit -energy(Refundable)</t>
  </si>
  <si>
    <t xml:space="preserve">ARO working </t>
  </si>
  <si>
    <t xml:space="preserve">Per sqft </t>
  </si>
  <si>
    <t xml:space="preserve">Per sqmt </t>
  </si>
  <si>
    <t>Area (Sqft)</t>
  </si>
  <si>
    <t>ARO Rate (as on 30-09-2017)</t>
  </si>
  <si>
    <t>Total ARO Cost</t>
  </si>
  <si>
    <t>Conversion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</si>
</sst>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3" fillId="0" borderId="1" xfId="0" applyFont="1" applyBorder="1"/>
    <xf numFmtId="14" fontId="0" fillId="0" borderId="1" xfId="0" applyNumberFormat="1" applyBorder="1"/>
    <xf numFmtId="9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14" fontId="3" fillId="0" borderId="0" xfId="0" applyNumberFormat="1" applyFont="1"/>
    <xf numFmtId="14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/>
    <xf numFmtId="164" fontId="0" fillId="0" borderId="1" xfId="1" applyNumberFormat="1" applyFont="1" applyBorder="1"/>
    <xf numFmtId="164" fontId="0" fillId="0" borderId="1" xfId="0" applyNumberFormat="1" applyBorder="1"/>
    <xf numFmtId="164" fontId="3" fillId="0" borderId="1" xfId="1" applyNumberFormat="1" applyFont="1" applyBorder="1"/>
    <xf numFmtId="0" fontId="4" fillId="0" borderId="1" xfId="2" applyBorder="1"/>
    <xf numFmtId="0" fontId="3" fillId="0" borderId="1" xfId="2" applyFont="1" applyBorder="1"/>
    <xf numFmtId="0" fontId="3" fillId="0" borderId="1" xfId="2" applyFont="1" applyBorder="1" applyAlignment="1">
      <alignment horizontal="center"/>
    </xf>
    <xf numFmtId="0" fontId="0" fillId="0" borderId="1" xfId="2" applyFont="1" applyBorder="1"/>
    <xf numFmtId="164" fontId="4" fillId="0" borderId="1" xfId="1" applyNumberFormat="1" applyFont="1" applyBorder="1"/>
    <xf numFmtId="0" fontId="0" fillId="0" borderId="1" xfId="2" applyFont="1" applyBorder="1" applyAlignment="1">
      <alignment horizontal="center"/>
    </xf>
    <xf numFmtId="164" fontId="3" fillId="0" borderId="1" xfId="2" applyNumberFormat="1" applyFont="1" applyBorder="1"/>
    <xf numFmtId="164" fontId="3" fillId="0" borderId="1" xfId="1" applyNumberFormat="1" applyFont="1" applyBorder="1" applyAlignment="1">
      <alignment horizontal="center"/>
    </xf>
    <xf numFmtId="0" fontId="4" fillId="0" borderId="1" xfId="2" applyBorder="1" applyAlignment="1">
      <alignment horizontal="center"/>
    </xf>
    <xf numFmtId="10" fontId="4" fillId="0" borderId="1" xfId="2" applyNumberFormat="1" applyBorder="1"/>
    <xf numFmtId="43" fontId="3" fillId="0" borderId="1" xfId="1" applyFont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164" fontId="0" fillId="0" borderId="5" xfId="1" applyNumberFormat="1" applyFont="1" applyBorder="1"/>
    <xf numFmtId="0" fontId="5" fillId="0" borderId="5" xfId="0" applyFont="1" applyBorder="1" applyAlignment="1">
      <alignment horizontal="center" vertical="center"/>
    </xf>
    <xf numFmtId="43" fontId="0" fillId="0" borderId="5" xfId="1" applyFont="1" applyBorder="1"/>
    <xf numFmtId="2" fontId="0" fillId="0" borderId="5" xfId="0" applyNumberFormat="1" applyBorder="1"/>
    <xf numFmtId="165" fontId="0" fillId="0" borderId="5" xfId="0" applyNumberFormat="1" applyBorder="1"/>
    <xf numFmtId="164" fontId="0" fillId="0" borderId="5" xfId="1" applyNumberFormat="1" applyFont="1" applyFill="1" applyBorder="1"/>
    <xf numFmtId="164" fontId="5" fillId="0" borderId="6" xfId="1" applyNumberFormat="1" applyFont="1" applyFill="1" applyBorder="1" applyAlignment="1">
      <alignment horizontal="center" vertical="center" wrapText="1"/>
    </xf>
    <xf numFmtId="0" fontId="0" fillId="0" borderId="7" xfId="0" applyBorder="1"/>
    <xf numFmtId="164" fontId="0" fillId="0" borderId="0" xfId="1" applyNumberFormat="1" applyFont="1" applyBorder="1"/>
    <xf numFmtId="0" fontId="5" fillId="0" borderId="0" xfId="0" applyFont="1" applyAlignment="1">
      <alignment horizontal="center" vertical="center"/>
    </xf>
    <xf numFmtId="43" fontId="0" fillId="0" borderId="0" xfId="1" applyFont="1" applyBorder="1"/>
    <xf numFmtId="2" fontId="0" fillId="0" borderId="0" xfId="0" applyNumberFormat="1"/>
    <xf numFmtId="165" fontId="0" fillId="0" borderId="0" xfId="0" applyNumberFormat="1"/>
    <xf numFmtId="164" fontId="0" fillId="0" borderId="0" xfId="1" applyNumberFormat="1" applyFont="1" applyFill="1" applyBorder="1"/>
    <xf numFmtId="164" fontId="5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/>
    <xf numFmtId="14" fontId="0" fillId="0" borderId="10" xfId="0" applyNumberFormat="1" applyBorder="1"/>
    <xf numFmtId="0" fontId="0" fillId="0" borderId="10" xfId="0" applyBorder="1"/>
    <xf numFmtId="164" fontId="0" fillId="0" borderId="10" xfId="1" applyNumberFormat="1" applyFont="1" applyBorder="1"/>
    <xf numFmtId="43" fontId="0" fillId="0" borderId="10" xfId="1" applyFont="1" applyBorder="1"/>
    <xf numFmtId="2" fontId="0" fillId="0" borderId="10" xfId="0" applyNumberFormat="1" applyBorder="1"/>
    <xf numFmtId="165" fontId="0" fillId="0" borderId="10" xfId="0" applyNumberFormat="1" applyBorder="1"/>
    <xf numFmtId="164" fontId="0" fillId="0" borderId="8" xfId="1" applyNumberFormat="1" applyFont="1" applyBorder="1"/>
    <xf numFmtId="164" fontId="0" fillId="0" borderId="11" xfId="1" applyNumberFormat="1" applyFont="1" applyBorder="1"/>
    <xf numFmtId="164" fontId="0" fillId="0" borderId="6" xfId="1" applyNumberFormat="1" applyFont="1" applyBorder="1"/>
    <xf numFmtId="164" fontId="5" fillId="2" borderId="14" xfId="1" applyNumberFormat="1" applyFont="1" applyFill="1" applyBorder="1" applyAlignment="1">
      <alignment horizontal="center" vertical="center" wrapText="1"/>
    </xf>
    <xf numFmtId="164" fontId="5" fillId="2" borderId="12" xfId="1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/>
    </xf>
    <xf numFmtId="0" fontId="0" fillId="0" borderId="15" xfId="0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3" fillId="0" borderId="0" xfId="3" applyFont="1"/>
    <xf numFmtId="43" fontId="1" fillId="0" borderId="0" xfId="1"/>
    <xf numFmtId="0" fontId="4" fillId="0" borderId="0" xfId="3"/>
    <xf numFmtId="0" fontId="3" fillId="0" borderId="0" xfId="3" applyFont="1" applyAlignment="1">
      <alignment wrapText="1"/>
    </xf>
    <xf numFmtId="43" fontId="0" fillId="0" borderId="8" xfId="4" applyFont="1" applyFill="1" applyBorder="1"/>
    <xf numFmtId="43" fontId="4" fillId="0" borderId="0" xfId="3" applyNumberFormat="1"/>
    <xf numFmtId="164" fontId="4" fillId="0" borderId="0" xfId="1" applyNumberFormat="1" applyFont="1"/>
    <xf numFmtId="43" fontId="4" fillId="0" borderId="0" xfId="1" applyFont="1"/>
    <xf numFmtId="43" fontId="3" fillId="3" borderId="0" xfId="1" applyFont="1" applyFill="1"/>
    <xf numFmtId="164" fontId="0" fillId="0" borderId="0" xfId="0" applyNumberFormat="1"/>
  </cellXfs>
  <cellStyles count="5">
    <cellStyle name="Comma" xfId="1" builtinId="3"/>
    <cellStyle name="Comma 16 2 4" xfId="4" xr:uid="{C8BD0BAA-A7B3-45B5-B3C3-98F456BF29A9}"/>
    <cellStyle name="Normal" xfId="0" builtinId="0"/>
    <cellStyle name="Normal 4" xfId="2" xr:uid="{61BB9D19-7E55-4BA9-930E-D12E6268DBC9}"/>
    <cellStyle name="Normal 4 2 2" xfId="3" xr:uid="{88AA1F4F-1F78-46B7-9B2B-F1DF85D7AB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61FD-7AD7-42A8-8C1F-3ED10687E076}">
  <dimension ref="A1:C17"/>
  <sheetViews>
    <sheetView workbookViewId="0">
      <selection activeCell="B12" sqref="B12"/>
    </sheetView>
  </sheetViews>
  <sheetFormatPr defaultRowHeight="14.5" x14ac:dyDescent="0.35"/>
  <cols>
    <col min="1" max="1" width="43.90625" bestFit="1" customWidth="1"/>
    <col min="2" max="2" width="15.36328125" bestFit="1" customWidth="1"/>
    <col min="3" max="3" width="11.81640625" bestFit="1" customWidth="1"/>
  </cols>
  <sheetData>
    <row r="1" spans="1:3" x14ac:dyDescent="0.35">
      <c r="A1" s="1"/>
      <c r="B1" s="2" t="s">
        <v>0</v>
      </c>
      <c r="C1" s="2" t="s">
        <v>1</v>
      </c>
    </row>
    <row r="2" spans="1:3" x14ac:dyDescent="0.35">
      <c r="A2" s="1" t="s">
        <v>2</v>
      </c>
      <c r="B2" s="1" t="s">
        <v>3</v>
      </c>
      <c r="C2" s="1"/>
    </row>
    <row r="3" spans="1:3" x14ac:dyDescent="0.35">
      <c r="A3" s="1" t="s">
        <v>4</v>
      </c>
      <c r="B3" s="1">
        <v>9515</v>
      </c>
      <c r="C3" s="1">
        <f>B3/10.764</f>
        <v>883.96506874767749</v>
      </c>
    </row>
    <row r="4" spans="1:3" x14ac:dyDescent="0.35">
      <c r="A4" s="1" t="s">
        <v>5</v>
      </c>
      <c r="B4" s="3">
        <v>46113</v>
      </c>
      <c r="C4" s="1"/>
    </row>
    <row r="5" spans="1:3" x14ac:dyDescent="0.35">
      <c r="A5" s="1" t="s">
        <v>6</v>
      </c>
      <c r="B5" s="3">
        <v>47573</v>
      </c>
      <c r="C5" s="1"/>
    </row>
    <row r="6" spans="1:3" x14ac:dyDescent="0.35">
      <c r="A6" s="1" t="s">
        <v>7</v>
      </c>
      <c r="B6" s="1">
        <f>(B5-B4)/365</f>
        <v>4</v>
      </c>
      <c r="C6" s="1"/>
    </row>
    <row r="7" spans="1:3" x14ac:dyDescent="0.35">
      <c r="A7" s="1" t="s">
        <v>8</v>
      </c>
      <c r="B7" s="1">
        <v>120</v>
      </c>
      <c r="C7" s="1"/>
    </row>
    <row r="8" spans="1:3" x14ac:dyDescent="0.35">
      <c r="A8" s="1" t="s">
        <v>9</v>
      </c>
      <c r="B8" s="1">
        <v>15.48</v>
      </c>
      <c r="C8" s="1"/>
    </row>
    <row r="9" spans="1:3" x14ac:dyDescent="0.35">
      <c r="A9" s="1" t="s">
        <v>10</v>
      </c>
      <c r="B9" s="6">
        <v>11418000</v>
      </c>
      <c r="C9" s="1"/>
    </row>
    <row r="10" spans="1:3" x14ac:dyDescent="0.35">
      <c r="A10" s="1" t="s">
        <v>11</v>
      </c>
      <c r="B10" s="1">
        <v>2400000</v>
      </c>
      <c r="C10" s="1"/>
    </row>
    <row r="11" spans="1:3" x14ac:dyDescent="0.35">
      <c r="A11" s="1" t="s">
        <v>12</v>
      </c>
      <c r="B11" s="1"/>
      <c r="C11" s="1"/>
    </row>
    <row r="12" spans="1:3" x14ac:dyDescent="0.35">
      <c r="A12" s="1" t="s">
        <v>13</v>
      </c>
      <c r="B12" s="4">
        <v>0.15</v>
      </c>
      <c r="C12" s="1"/>
    </row>
    <row r="13" spans="1:3" x14ac:dyDescent="0.35">
      <c r="A13" s="1" t="s">
        <v>14</v>
      </c>
      <c r="B13" s="4">
        <v>7.4999999999999997E-2</v>
      </c>
      <c r="C13" s="1"/>
    </row>
    <row r="14" spans="1:3" x14ac:dyDescent="0.35">
      <c r="A14" s="1" t="s">
        <v>15</v>
      </c>
      <c r="B14" s="1" t="s">
        <v>16</v>
      </c>
      <c r="C14" s="1"/>
    </row>
    <row r="15" spans="1:3" x14ac:dyDescent="0.35">
      <c r="A15" s="1" t="s">
        <v>17</v>
      </c>
      <c r="B15" s="1" t="s">
        <v>18</v>
      </c>
      <c r="C15" s="1"/>
    </row>
    <row r="16" spans="1:3" x14ac:dyDescent="0.35">
      <c r="A16" s="1" t="s">
        <v>43</v>
      </c>
      <c r="B16" s="1"/>
      <c r="C16" s="5"/>
    </row>
    <row r="17" spans="1:3" x14ac:dyDescent="0.35">
      <c r="A17" s="59" t="s">
        <v>44</v>
      </c>
      <c r="B17" s="60">
        <v>500000</v>
      </c>
      <c r="C17" s="1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D04E-B252-45E7-B4D8-27FEBC28FDDF}">
  <dimension ref="A2:D19"/>
  <sheetViews>
    <sheetView tabSelected="1" workbookViewId="0">
      <selection activeCell="D11" sqref="D11"/>
    </sheetView>
  </sheetViews>
  <sheetFormatPr defaultRowHeight="14.5" x14ac:dyDescent="0.35"/>
  <cols>
    <col min="1" max="1" width="26.7265625" bestFit="1" customWidth="1"/>
    <col min="2" max="2" width="20.36328125" bestFit="1" customWidth="1"/>
    <col min="3" max="3" width="14.81640625" bestFit="1" customWidth="1"/>
    <col min="4" max="4" width="19.7265625" bestFit="1" customWidth="1"/>
  </cols>
  <sheetData>
    <row r="2" spans="1:4" x14ac:dyDescent="0.35">
      <c r="A2" s="14"/>
      <c r="B2" s="15" t="s">
        <v>10</v>
      </c>
      <c r="C2" s="16" t="s">
        <v>24</v>
      </c>
      <c r="D2" s="16" t="s">
        <v>25</v>
      </c>
    </row>
    <row r="3" spans="1:4" x14ac:dyDescent="0.35">
      <c r="A3" s="17" t="s">
        <v>26</v>
      </c>
      <c r="B3" s="18">
        <v>0</v>
      </c>
      <c r="C3" s="18">
        <f>+B3*Main!B12/12*33.5</f>
        <v>0</v>
      </c>
      <c r="D3" s="19"/>
    </row>
    <row r="4" spans="1:4" x14ac:dyDescent="0.35">
      <c r="A4" s="17" t="s">
        <v>27</v>
      </c>
      <c r="B4" s="18">
        <f>Main!B9</f>
        <v>11418000</v>
      </c>
      <c r="C4" s="18">
        <f ca="1">+B4*B9/12*D4</f>
        <v>10276200</v>
      </c>
      <c r="D4" s="19">
        <f ca="1">'Lease Rent'!H22</f>
        <v>72</v>
      </c>
    </row>
    <row r="5" spans="1:4" x14ac:dyDescent="0.35">
      <c r="A5" s="17" t="s">
        <v>28</v>
      </c>
      <c r="B5" s="18">
        <f>'Lease Rent'!J31 * Main!B3 * Main!B16</f>
        <v>0</v>
      </c>
      <c r="C5" s="18">
        <f ca="1">+B5*Main!B12/12*D5</f>
        <v>0</v>
      </c>
      <c r="D5" s="19">
        <f ca="1">D4</f>
        <v>72</v>
      </c>
    </row>
    <row r="6" spans="1:4" x14ac:dyDescent="0.35">
      <c r="A6" s="17" t="s">
        <v>29</v>
      </c>
      <c r="B6" s="18">
        <f>Main!B17</f>
        <v>500000</v>
      </c>
      <c r="C6" s="18">
        <f>+B6*B9*3</f>
        <v>225000</v>
      </c>
      <c r="D6" s="19"/>
    </row>
    <row r="7" spans="1:4" x14ac:dyDescent="0.35">
      <c r="A7" s="15" t="s">
        <v>23</v>
      </c>
      <c r="B7" s="20">
        <f>SUM(B3:B6)</f>
        <v>11918000</v>
      </c>
      <c r="C7" s="13">
        <f ca="1">SUM(C3:C6)</f>
        <v>10501200</v>
      </c>
      <c r="D7" s="21">
        <f ca="1">AVERAGE(D4:D6)</f>
        <v>72</v>
      </c>
    </row>
    <row r="8" spans="1:4" x14ac:dyDescent="0.35">
      <c r="A8" s="14" t="s">
        <v>30</v>
      </c>
      <c r="B8" s="14">
        <f>Main!B3</f>
        <v>9515</v>
      </c>
      <c r="C8" s="14"/>
      <c r="D8" s="22"/>
    </row>
    <row r="9" spans="1:4" x14ac:dyDescent="0.35">
      <c r="A9" s="14" t="s">
        <v>31</v>
      </c>
      <c r="B9" s="23">
        <f>Main!B12</f>
        <v>0.15</v>
      </c>
      <c r="C9" s="14"/>
      <c r="D9" s="22"/>
    </row>
    <row r="10" spans="1:4" x14ac:dyDescent="0.35">
      <c r="A10" s="14" t="s">
        <v>32</v>
      </c>
      <c r="B10" s="14">
        <f ca="1">'Lease Rent'!H22</f>
        <v>72</v>
      </c>
      <c r="C10" s="14"/>
      <c r="D10" s="22"/>
    </row>
    <row r="11" spans="1:4" x14ac:dyDescent="0.35">
      <c r="A11" s="15" t="s">
        <v>33</v>
      </c>
      <c r="B11" s="15"/>
      <c r="C11" s="24">
        <f ca="1">C7/(B8*B10)</f>
        <v>15.328428796636889</v>
      </c>
      <c r="D11" s="22"/>
    </row>
    <row r="15" spans="1:4" x14ac:dyDescent="0.35">
      <c r="A15" s="61" t="s">
        <v>45</v>
      </c>
      <c r="B15" s="61" t="s">
        <v>46</v>
      </c>
      <c r="C15" s="61" t="s">
        <v>47</v>
      </c>
    </row>
    <row r="16" spans="1:4" x14ac:dyDescent="0.35">
      <c r="A16" s="61" t="s">
        <v>48</v>
      </c>
      <c r="B16" s="62">
        <f>Main!B3</f>
        <v>9515</v>
      </c>
      <c r="C16" s="63"/>
    </row>
    <row r="17" spans="1:3" x14ac:dyDescent="0.35">
      <c r="A17" s="64" t="s">
        <v>49</v>
      </c>
      <c r="B17" s="65">
        <f>IF(B16&lt;50000,82.6,62.72)</f>
        <v>82.6</v>
      </c>
      <c r="C17" s="66">
        <f>B17*10.764</f>
        <v>889.10639999999989</v>
      </c>
    </row>
    <row r="18" spans="1:3" x14ac:dyDescent="0.35">
      <c r="A18" s="61" t="s">
        <v>50</v>
      </c>
      <c r="B18" s="67">
        <f>B16*B17</f>
        <v>785939</v>
      </c>
      <c r="C18" s="68">
        <f ca="1">B18/B10</f>
        <v>10915.819444444445</v>
      </c>
    </row>
    <row r="19" spans="1:3" x14ac:dyDescent="0.35">
      <c r="A19" s="61" t="s">
        <v>51</v>
      </c>
      <c r="B19" s="69">
        <f ca="1">C18/B16</f>
        <v>1.1472222222222224</v>
      </c>
      <c r="C19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2844-3685-4EA5-84DB-C435799FC426}">
  <dimension ref="A13:O103"/>
  <sheetViews>
    <sheetView topLeftCell="A15" workbookViewId="0">
      <selection activeCell="I19" sqref="I19"/>
    </sheetView>
  </sheetViews>
  <sheetFormatPr defaultRowHeight="14.5" x14ac:dyDescent="0.35"/>
  <cols>
    <col min="1" max="1" width="4.81640625" bestFit="1" customWidth="1"/>
    <col min="2" max="2" width="9.08984375" bestFit="1" customWidth="1"/>
    <col min="3" max="3" width="10.08984375" bestFit="1" customWidth="1"/>
    <col min="4" max="4" width="7.26953125" bestFit="1" customWidth="1"/>
    <col min="5" max="5" width="11.453125" bestFit="1" customWidth="1"/>
    <col min="6" max="6" width="11.81640625" bestFit="1" customWidth="1"/>
    <col min="7" max="7" width="10.36328125" bestFit="1" customWidth="1"/>
    <col min="8" max="8" width="7.6328125" bestFit="1" customWidth="1"/>
    <col min="9" max="10" width="11.1796875" bestFit="1" customWidth="1"/>
    <col min="11" max="11" width="12.1796875" bestFit="1" customWidth="1"/>
    <col min="12" max="12" width="11.1796875" bestFit="1" customWidth="1"/>
    <col min="13" max="13" width="12.1796875" bestFit="1" customWidth="1"/>
    <col min="14" max="15" width="11.1796875" bestFit="1" customWidth="1"/>
  </cols>
  <sheetData>
    <row r="13" spans="7:11" x14ac:dyDescent="0.35">
      <c r="G13" s="7" t="s">
        <v>19</v>
      </c>
      <c r="H13" s="8"/>
    </row>
    <row r="14" spans="7:11" x14ac:dyDescent="0.35">
      <c r="G14" s="9" t="s">
        <v>20</v>
      </c>
      <c r="H14" s="9" t="s">
        <v>21</v>
      </c>
      <c r="I14" s="9" t="s">
        <v>19</v>
      </c>
      <c r="J14" s="10" t="s">
        <v>22</v>
      </c>
      <c r="K14" s="10" t="s">
        <v>23</v>
      </c>
    </row>
    <row r="15" spans="7:11" x14ac:dyDescent="0.35">
      <c r="G15" s="1">
        <v>2026</v>
      </c>
      <c r="H15" s="11">
        <f t="shared" ref="H15:H21" ca="1" si="0">SUMIF($A$31:$A$1048576,$G15,$D$31:$D$102)</f>
        <v>9</v>
      </c>
      <c r="I15" s="11">
        <f t="shared" ref="I15:I21" ca="1" si="1">SUMIF($A$31:$A$1048576,$G15,$K$31:$K$102)</f>
        <v>10276200</v>
      </c>
      <c r="J15" s="11">
        <f t="shared" ref="J15:J21" ca="1" si="2">SUMIF($A$31:$A$1048576,$G15,$L$31:$L$102)</f>
        <v>1325629.7999999998</v>
      </c>
      <c r="K15" s="12">
        <f t="shared" ref="K15:K21" ca="1" si="3">I15+J15</f>
        <v>11601829.800000001</v>
      </c>
    </row>
    <row r="16" spans="7:11" x14ac:dyDescent="0.35">
      <c r="G16" s="1">
        <f t="shared" ref="G16:G21" si="4">G15+1</f>
        <v>2027</v>
      </c>
      <c r="H16" s="11">
        <f t="shared" ca="1" si="0"/>
        <v>12</v>
      </c>
      <c r="I16" s="11">
        <f t="shared" ca="1" si="1"/>
        <v>13701600</v>
      </c>
      <c r="J16" s="11">
        <f t="shared" ca="1" si="2"/>
        <v>1826423.2800000005</v>
      </c>
      <c r="K16" s="12">
        <f t="shared" ca="1" si="3"/>
        <v>15528023.280000001</v>
      </c>
    </row>
    <row r="17" spans="1:15" x14ac:dyDescent="0.35">
      <c r="G17" s="1">
        <f t="shared" si="4"/>
        <v>2028</v>
      </c>
      <c r="H17" s="11">
        <f t="shared" ca="1" si="0"/>
        <v>12</v>
      </c>
      <c r="I17" s="11">
        <f t="shared" ca="1" si="1"/>
        <v>13701600</v>
      </c>
      <c r="J17" s="11">
        <f t="shared" ca="1" si="2"/>
        <v>1917744.4440000001</v>
      </c>
      <c r="K17" s="12">
        <f t="shared" ca="1" si="3"/>
        <v>15619344.444</v>
      </c>
    </row>
    <row r="18" spans="1:15" x14ac:dyDescent="0.35">
      <c r="G18" s="1">
        <f t="shared" si="4"/>
        <v>2029</v>
      </c>
      <c r="H18" s="11">
        <f t="shared" ca="1" si="0"/>
        <v>12</v>
      </c>
      <c r="I18" s="11">
        <f t="shared" ca="1" si="1"/>
        <v>15243030</v>
      </c>
      <c r="J18" s="11">
        <f t="shared" ca="1" si="2"/>
        <v>2021751.1487250007</v>
      </c>
      <c r="K18" s="12">
        <f t="shared" ca="1" si="3"/>
        <v>17264781.148724999</v>
      </c>
    </row>
    <row r="19" spans="1:15" x14ac:dyDescent="0.35">
      <c r="G19" s="1">
        <f t="shared" si="4"/>
        <v>2030</v>
      </c>
      <c r="H19" s="11">
        <f t="shared" ca="1" si="0"/>
        <v>12</v>
      </c>
      <c r="I19" s="11">
        <f t="shared" ca="1" si="1"/>
        <v>15756840</v>
      </c>
      <c r="J19" s="11">
        <f t="shared" ca="1" si="2"/>
        <v>2114313.2495100005</v>
      </c>
      <c r="K19" s="12">
        <f t="shared" ca="1" si="3"/>
        <v>17871153.249510001</v>
      </c>
    </row>
    <row r="20" spans="1:15" x14ac:dyDescent="0.35">
      <c r="G20" s="1">
        <f t="shared" si="4"/>
        <v>2031</v>
      </c>
      <c r="H20" s="11">
        <f t="shared" ca="1" si="0"/>
        <v>12</v>
      </c>
      <c r="I20" s="11">
        <f t="shared" ca="1" si="1"/>
        <v>15756840</v>
      </c>
      <c r="J20" s="11">
        <f t="shared" ca="1" si="2"/>
        <v>2220028.9119855007</v>
      </c>
      <c r="K20" s="12">
        <f t="shared" ca="1" si="3"/>
        <v>17976868.911985502</v>
      </c>
    </row>
    <row r="21" spans="1:15" x14ac:dyDescent="0.35">
      <c r="G21" s="1">
        <f t="shared" si="4"/>
        <v>2032</v>
      </c>
      <c r="H21" s="11">
        <f t="shared" ca="1" si="0"/>
        <v>3</v>
      </c>
      <c r="I21" s="11">
        <f t="shared" ca="1" si="1"/>
        <v>3939210</v>
      </c>
      <c r="J21" s="11">
        <f t="shared" ca="1" si="2"/>
        <v>563958.95748018753</v>
      </c>
      <c r="K21" s="11">
        <f t="shared" ca="1" si="3"/>
        <v>4503168.9574801875</v>
      </c>
    </row>
    <row r="22" spans="1:15" x14ac:dyDescent="0.35">
      <c r="G22" s="1"/>
      <c r="H22" s="13">
        <f ca="1">SUM(H15:H21)</f>
        <v>72</v>
      </c>
      <c r="I22" s="13">
        <f ca="1">SUM(I15:I21)</f>
        <v>88375320</v>
      </c>
      <c r="J22" s="13">
        <f ca="1">SUM(J15:J21)</f>
        <v>11989849.791700691</v>
      </c>
      <c r="K22" s="13">
        <f ca="1">SUM(K15:K21)</f>
        <v>100365169.79170071</v>
      </c>
    </row>
    <row r="29" spans="1:15" ht="15" thickBot="1" x14ac:dyDescent="0.4"/>
    <row r="30" spans="1:15" ht="26.5" thickBot="1" x14ac:dyDescent="0.4">
      <c r="A30" s="58" t="s">
        <v>20</v>
      </c>
      <c r="B30" s="56" t="s">
        <v>34</v>
      </c>
      <c r="C30" s="56" t="s">
        <v>35</v>
      </c>
      <c r="D30" s="56" t="s">
        <v>21</v>
      </c>
      <c r="E30" s="56" t="s">
        <v>36</v>
      </c>
      <c r="F30" s="56" t="s">
        <v>37</v>
      </c>
      <c r="G30" s="56" t="s">
        <v>38</v>
      </c>
      <c r="H30" s="56" t="s">
        <v>39</v>
      </c>
      <c r="I30" s="55" t="s">
        <v>40</v>
      </c>
      <c r="J30" s="56" t="s">
        <v>22</v>
      </c>
      <c r="K30" s="55" t="s">
        <v>41</v>
      </c>
      <c r="L30" s="57" t="s">
        <v>42</v>
      </c>
      <c r="M30" s="55" t="s">
        <v>23</v>
      </c>
      <c r="N30" s="53" t="s">
        <v>19</v>
      </c>
      <c r="O30" s="54" t="s">
        <v>22</v>
      </c>
    </row>
    <row r="31" spans="1:15" x14ac:dyDescent="0.35">
      <c r="A31" s="25">
        <v>2026</v>
      </c>
      <c r="B31" s="26">
        <v>46023</v>
      </c>
      <c r="C31" s="26">
        <f>B31+30</f>
        <v>46053</v>
      </c>
      <c r="D31" s="27">
        <v>1</v>
      </c>
      <c r="E31" s="28">
        <f>Main!B3</f>
        <v>9515</v>
      </c>
      <c r="F31" s="28">
        <f>Main!C3</f>
        <v>883.96506874767749</v>
      </c>
      <c r="G31" s="29"/>
      <c r="H31" s="30">
        <f>120</f>
        <v>120</v>
      </c>
      <c r="I31" s="28"/>
      <c r="J31" s="31">
        <f>15.48</f>
        <v>15.48</v>
      </c>
      <c r="K31" s="28">
        <f t="shared" ref="K31:K94" si="5">H31*E31</f>
        <v>1141800</v>
      </c>
      <c r="L31" s="38">
        <f t="shared" ref="L31:L94" si="6">J31*E31</f>
        <v>147292.20000000001</v>
      </c>
      <c r="M31" s="32">
        <f t="shared" ref="M31:M36" si="7">I31+K31+L31</f>
        <v>1289092.2</v>
      </c>
      <c r="N31" s="33"/>
      <c r="O31" s="34"/>
    </row>
    <row r="32" spans="1:15" x14ac:dyDescent="0.35">
      <c r="A32" s="35">
        <f>A31</f>
        <v>2026</v>
      </c>
      <c r="B32" s="8">
        <f>C31+1</f>
        <v>46054</v>
      </c>
      <c r="C32" s="8">
        <f>B32+30-3</f>
        <v>46081</v>
      </c>
      <c r="D32">
        <v>1</v>
      </c>
      <c r="E32" s="36">
        <v>9515</v>
      </c>
      <c r="F32" s="36">
        <v>883.96506874767749</v>
      </c>
      <c r="G32" s="37"/>
      <c r="H32" s="38">
        <v>120</v>
      </c>
      <c r="I32" s="36"/>
      <c r="J32" s="39">
        <v>15.48</v>
      </c>
      <c r="K32" s="36">
        <f t="shared" si="5"/>
        <v>1141800</v>
      </c>
      <c r="L32" s="38">
        <f t="shared" si="6"/>
        <v>147292.20000000001</v>
      </c>
      <c r="M32" s="40">
        <f t="shared" si="7"/>
        <v>1289092.2</v>
      </c>
      <c r="N32" s="41"/>
      <c r="O32" s="42"/>
    </row>
    <row r="33" spans="1:15" x14ac:dyDescent="0.35">
      <c r="A33" s="35">
        <f t="shared" ref="A33:A39" si="8">A32</f>
        <v>2026</v>
      </c>
      <c r="B33" s="8">
        <f>C32+1</f>
        <v>46082</v>
      </c>
      <c r="C33" s="8">
        <f>B33+30</f>
        <v>46112</v>
      </c>
      <c r="D33">
        <v>1</v>
      </c>
      <c r="E33" s="36">
        <f t="shared" ref="E33:F48" si="9">E32</f>
        <v>9515</v>
      </c>
      <c r="F33" s="36">
        <f t="shared" si="9"/>
        <v>883.96506874767749</v>
      </c>
      <c r="G33" s="37"/>
      <c r="H33" s="38">
        <v>120</v>
      </c>
      <c r="I33" s="36"/>
      <c r="J33" s="39">
        <f t="shared" ref="J33:J42" si="10">J32</f>
        <v>15.48</v>
      </c>
      <c r="K33" s="36">
        <f t="shared" si="5"/>
        <v>1141800</v>
      </c>
      <c r="L33" s="38">
        <f t="shared" si="6"/>
        <v>147292.20000000001</v>
      </c>
      <c r="M33" s="40">
        <f t="shared" si="7"/>
        <v>1289092.2</v>
      </c>
      <c r="N33" s="41"/>
      <c r="O33" s="42"/>
    </row>
    <row r="34" spans="1:15" x14ac:dyDescent="0.35">
      <c r="A34" s="35">
        <f t="shared" si="8"/>
        <v>2026</v>
      </c>
      <c r="B34" s="8">
        <f>C33+1</f>
        <v>46113</v>
      </c>
      <c r="C34" s="8">
        <f>B34+30-1</f>
        <v>46142</v>
      </c>
      <c r="D34">
        <v>1</v>
      </c>
      <c r="E34" s="36">
        <f t="shared" si="9"/>
        <v>9515</v>
      </c>
      <c r="F34" s="36">
        <f t="shared" si="9"/>
        <v>883.96506874767749</v>
      </c>
      <c r="G34" s="37"/>
      <c r="H34" s="38">
        <v>120</v>
      </c>
      <c r="I34" s="36"/>
      <c r="J34" s="39">
        <f t="shared" si="10"/>
        <v>15.48</v>
      </c>
      <c r="K34" s="36">
        <f t="shared" si="5"/>
        <v>1141800</v>
      </c>
      <c r="L34" s="38">
        <f t="shared" si="6"/>
        <v>147292.20000000001</v>
      </c>
      <c r="M34" s="40">
        <f t="shared" si="7"/>
        <v>1289092.2</v>
      </c>
      <c r="N34" s="41"/>
      <c r="O34" s="42"/>
    </row>
    <row r="35" spans="1:15" x14ac:dyDescent="0.35">
      <c r="A35" s="35">
        <f t="shared" si="8"/>
        <v>2026</v>
      </c>
      <c r="B35" s="8">
        <f t="shared" ref="B35:B36" si="11">C34+1</f>
        <v>46143</v>
      </c>
      <c r="C35" s="8">
        <f>B35+30</f>
        <v>46173</v>
      </c>
      <c r="D35">
        <v>1</v>
      </c>
      <c r="E35" s="36">
        <f t="shared" si="9"/>
        <v>9515</v>
      </c>
      <c r="F35" s="36">
        <f t="shared" si="9"/>
        <v>883.96506874767749</v>
      </c>
      <c r="G35" s="37"/>
      <c r="H35" s="38">
        <v>120</v>
      </c>
      <c r="I35" s="36"/>
      <c r="J35" s="39">
        <f t="shared" si="10"/>
        <v>15.48</v>
      </c>
      <c r="K35" s="36">
        <f t="shared" si="5"/>
        <v>1141800</v>
      </c>
      <c r="L35" s="38">
        <f t="shared" si="6"/>
        <v>147292.20000000001</v>
      </c>
      <c r="M35" s="40">
        <f t="shared" si="7"/>
        <v>1289092.2</v>
      </c>
      <c r="N35" s="41"/>
      <c r="O35" s="42"/>
    </row>
    <row r="36" spans="1:15" x14ac:dyDescent="0.35">
      <c r="A36" s="35">
        <f t="shared" si="8"/>
        <v>2026</v>
      </c>
      <c r="B36" s="8">
        <f t="shared" si="11"/>
        <v>46174</v>
      </c>
      <c r="C36" s="8">
        <f>B36+30-1</f>
        <v>46203</v>
      </c>
      <c r="D36">
        <v>1</v>
      </c>
      <c r="E36" s="36">
        <f t="shared" si="9"/>
        <v>9515</v>
      </c>
      <c r="F36" s="36">
        <f t="shared" si="9"/>
        <v>883.96506874767749</v>
      </c>
      <c r="G36" s="37"/>
      <c r="H36" s="38">
        <v>120</v>
      </c>
      <c r="I36" s="36"/>
      <c r="J36" s="39">
        <f t="shared" si="10"/>
        <v>15.48</v>
      </c>
      <c r="K36" s="36">
        <f t="shared" si="5"/>
        <v>1141800</v>
      </c>
      <c r="L36" s="38">
        <f t="shared" si="6"/>
        <v>147292.20000000001</v>
      </c>
      <c r="M36" s="40">
        <f t="shared" si="7"/>
        <v>1289092.2</v>
      </c>
      <c r="N36" s="41"/>
      <c r="O36" s="42"/>
    </row>
    <row r="37" spans="1:15" x14ac:dyDescent="0.35">
      <c r="A37" s="35">
        <f t="shared" si="8"/>
        <v>2026</v>
      </c>
      <c r="B37" s="8">
        <f>C36+1</f>
        <v>46204</v>
      </c>
      <c r="C37" s="8">
        <f>B37+30-1</f>
        <v>46233</v>
      </c>
      <c r="D37">
        <v>1</v>
      </c>
      <c r="E37" s="36">
        <f t="shared" si="9"/>
        <v>9515</v>
      </c>
      <c r="F37" s="36">
        <f t="shared" si="9"/>
        <v>883.96506874767749</v>
      </c>
      <c r="H37" s="38">
        <v>120</v>
      </c>
      <c r="I37" s="36"/>
      <c r="J37" s="39">
        <f t="shared" si="10"/>
        <v>15.48</v>
      </c>
      <c r="K37" s="36">
        <f t="shared" si="5"/>
        <v>1141800</v>
      </c>
      <c r="L37" s="38">
        <f t="shared" si="6"/>
        <v>147292.20000000001</v>
      </c>
      <c r="M37" s="40">
        <f>I37+K37+L37</f>
        <v>1289092.2</v>
      </c>
      <c r="N37" s="36"/>
      <c r="O37" s="50"/>
    </row>
    <row r="38" spans="1:15" x14ac:dyDescent="0.35">
      <c r="A38" s="35">
        <f t="shared" si="8"/>
        <v>2026</v>
      </c>
      <c r="B38" s="8">
        <f>C37+1</f>
        <v>46234</v>
      </c>
      <c r="C38" s="8">
        <f>B38+30</f>
        <v>46264</v>
      </c>
      <c r="D38">
        <v>1</v>
      </c>
      <c r="E38" s="36">
        <f t="shared" si="9"/>
        <v>9515</v>
      </c>
      <c r="F38" s="36">
        <f t="shared" si="9"/>
        <v>883.96506874767749</v>
      </c>
      <c r="H38" s="38">
        <v>120</v>
      </c>
      <c r="I38" s="36"/>
      <c r="J38" s="39">
        <f t="shared" si="10"/>
        <v>15.48</v>
      </c>
      <c r="K38" s="36">
        <f t="shared" si="5"/>
        <v>1141800</v>
      </c>
      <c r="L38" s="38">
        <f t="shared" si="6"/>
        <v>147292.20000000001</v>
      </c>
      <c r="M38" s="40">
        <f t="shared" ref="M38:M101" si="12">I38+K38+L38</f>
        <v>1289092.2</v>
      </c>
      <c r="N38" s="36"/>
      <c r="O38" s="50"/>
    </row>
    <row r="39" spans="1:15" ht="15" thickBot="1" x14ac:dyDescent="0.4">
      <c r="A39" s="43">
        <f t="shared" si="8"/>
        <v>2026</v>
      </c>
      <c r="B39" s="44">
        <f t="shared" ref="B39:B102" si="13">C38+1</f>
        <v>46265</v>
      </c>
      <c r="C39" s="44">
        <f>B39+30</f>
        <v>46295</v>
      </c>
      <c r="D39" s="45">
        <v>1</v>
      </c>
      <c r="E39" s="46">
        <f t="shared" si="9"/>
        <v>9515</v>
      </c>
      <c r="F39" s="46">
        <f t="shared" si="9"/>
        <v>883.96506874767749</v>
      </c>
      <c r="G39" s="45"/>
      <c r="H39" s="47">
        <v>120</v>
      </c>
      <c r="I39" s="46"/>
      <c r="J39" s="48">
        <f t="shared" si="10"/>
        <v>15.48</v>
      </c>
      <c r="K39" s="46">
        <f t="shared" si="5"/>
        <v>1141800</v>
      </c>
      <c r="L39" s="47">
        <f t="shared" si="6"/>
        <v>147292.20000000001</v>
      </c>
      <c r="M39" s="49">
        <f t="shared" si="12"/>
        <v>1289092.2</v>
      </c>
      <c r="N39" s="46">
        <f>SUM(K31:K39)</f>
        <v>10276200</v>
      </c>
      <c r="O39" s="51">
        <f>SUM(L31:L39)</f>
        <v>1325629.7999999998</v>
      </c>
    </row>
    <row r="40" spans="1:15" x14ac:dyDescent="0.35">
      <c r="A40" s="35">
        <f>A39+1</f>
        <v>2027</v>
      </c>
      <c r="B40" s="26">
        <f t="shared" si="13"/>
        <v>46296</v>
      </c>
      <c r="C40" s="26">
        <f>B40+30</f>
        <v>46326</v>
      </c>
      <c r="D40" s="27">
        <v>1</v>
      </c>
      <c r="E40" s="28">
        <f t="shared" si="9"/>
        <v>9515</v>
      </c>
      <c r="F40" s="28">
        <f t="shared" si="9"/>
        <v>883.96506874767749</v>
      </c>
      <c r="G40" s="27"/>
      <c r="H40" s="30">
        <v>120</v>
      </c>
      <c r="I40" s="28"/>
      <c r="J40" s="31">
        <f t="shared" si="10"/>
        <v>15.48</v>
      </c>
      <c r="K40" s="28">
        <f t="shared" si="5"/>
        <v>1141800</v>
      </c>
      <c r="L40" s="30">
        <f t="shared" si="6"/>
        <v>147292.20000000001</v>
      </c>
      <c r="M40" s="32">
        <f t="shared" si="12"/>
        <v>1289092.2</v>
      </c>
      <c r="N40" s="28"/>
      <c r="O40" s="52"/>
    </row>
    <row r="41" spans="1:15" x14ac:dyDescent="0.35">
      <c r="A41" s="35">
        <f>A40</f>
        <v>2027</v>
      </c>
      <c r="B41" s="8">
        <f t="shared" si="13"/>
        <v>46327</v>
      </c>
      <c r="C41" s="8">
        <f>B41+30-1</f>
        <v>46356</v>
      </c>
      <c r="D41">
        <v>1</v>
      </c>
      <c r="E41" s="36">
        <f t="shared" si="9"/>
        <v>9515</v>
      </c>
      <c r="F41" s="36">
        <f t="shared" si="9"/>
        <v>883.96506874767749</v>
      </c>
      <c r="H41" s="38">
        <v>120</v>
      </c>
      <c r="I41" s="36"/>
      <c r="J41" s="39">
        <f t="shared" si="10"/>
        <v>15.48</v>
      </c>
      <c r="K41" s="36">
        <f t="shared" si="5"/>
        <v>1141800</v>
      </c>
      <c r="L41" s="38">
        <f t="shared" si="6"/>
        <v>147292.20000000001</v>
      </c>
      <c r="M41" s="40">
        <f t="shared" si="12"/>
        <v>1289092.2</v>
      </c>
      <c r="N41" s="36"/>
      <c r="O41" s="50"/>
    </row>
    <row r="42" spans="1:15" x14ac:dyDescent="0.35">
      <c r="A42" s="35">
        <f>A41</f>
        <v>2027</v>
      </c>
      <c r="B42" s="8">
        <f t="shared" si="13"/>
        <v>46357</v>
      </c>
      <c r="C42" s="8">
        <f>B42+30</f>
        <v>46387</v>
      </c>
      <c r="D42">
        <v>1</v>
      </c>
      <c r="E42" s="36">
        <f t="shared" si="9"/>
        <v>9515</v>
      </c>
      <c r="F42" s="36">
        <f t="shared" si="9"/>
        <v>883.96506874767749</v>
      </c>
      <c r="H42" s="38">
        <v>120</v>
      </c>
      <c r="I42" s="36"/>
      <c r="J42" s="39">
        <f t="shared" si="10"/>
        <v>15.48</v>
      </c>
      <c r="K42" s="36">
        <f t="shared" si="5"/>
        <v>1141800</v>
      </c>
      <c r="L42" s="38">
        <f t="shared" si="6"/>
        <v>147292.20000000001</v>
      </c>
      <c r="M42" s="40">
        <f t="shared" si="12"/>
        <v>1289092.2</v>
      </c>
      <c r="N42" s="36"/>
      <c r="O42" s="50"/>
    </row>
    <row r="43" spans="1:15" x14ac:dyDescent="0.35">
      <c r="A43" s="35">
        <f>A42</f>
        <v>2027</v>
      </c>
      <c r="B43" s="8">
        <f t="shared" si="13"/>
        <v>46388</v>
      </c>
      <c r="C43" s="8">
        <f>B43+30</f>
        <v>46418</v>
      </c>
      <c r="D43">
        <v>1</v>
      </c>
      <c r="E43" s="36">
        <f t="shared" si="9"/>
        <v>9515</v>
      </c>
      <c r="F43" s="36">
        <f t="shared" si="9"/>
        <v>883.96506874767749</v>
      </c>
      <c r="H43" s="38">
        <v>120</v>
      </c>
      <c r="I43" s="36"/>
      <c r="J43" s="39">
        <f>J42</f>
        <v>15.48</v>
      </c>
      <c r="K43" s="36">
        <f t="shared" si="5"/>
        <v>1141800</v>
      </c>
      <c r="L43" s="38">
        <f t="shared" si="6"/>
        <v>147292.20000000001</v>
      </c>
      <c r="M43" s="40">
        <f t="shared" si="12"/>
        <v>1289092.2</v>
      </c>
      <c r="N43" s="36"/>
      <c r="O43" s="50"/>
    </row>
    <row r="44" spans="1:15" x14ac:dyDescent="0.35">
      <c r="A44" s="35">
        <f>A43</f>
        <v>2027</v>
      </c>
      <c r="B44" s="8">
        <f t="shared" si="13"/>
        <v>46419</v>
      </c>
      <c r="C44" s="8">
        <f>B44+30-3</f>
        <v>46446</v>
      </c>
      <c r="D44">
        <v>1</v>
      </c>
      <c r="E44" s="36">
        <f t="shared" si="9"/>
        <v>9515</v>
      </c>
      <c r="F44" s="36">
        <f t="shared" si="9"/>
        <v>883.96506874767749</v>
      </c>
      <c r="H44" s="38">
        <v>120</v>
      </c>
      <c r="I44" s="36"/>
      <c r="J44" s="39">
        <f>J43*1.05</f>
        <v>16.254000000000001</v>
      </c>
      <c r="K44" s="36">
        <f t="shared" si="5"/>
        <v>1141800</v>
      </c>
      <c r="L44" s="38">
        <f t="shared" si="6"/>
        <v>154656.81000000003</v>
      </c>
      <c r="M44" s="40">
        <f t="shared" si="12"/>
        <v>1296456.81</v>
      </c>
      <c r="N44" s="36"/>
      <c r="O44" s="50"/>
    </row>
    <row r="45" spans="1:15" x14ac:dyDescent="0.35">
      <c r="A45" s="35">
        <f t="shared" ref="A45:A51" si="14">A44</f>
        <v>2027</v>
      </c>
      <c r="B45" s="8">
        <f t="shared" si="13"/>
        <v>46447</v>
      </c>
      <c r="C45" s="8">
        <f>B45+30</f>
        <v>46477</v>
      </c>
      <c r="D45">
        <v>1</v>
      </c>
      <c r="E45" s="36">
        <f t="shared" si="9"/>
        <v>9515</v>
      </c>
      <c r="F45" s="36">
        <f t="shared" si="9"/>
        <v>883.96506874767749</v>
      </c>
      <c r="H45" s="38">
        <v>120</v>
      </c>
      <c r="I45" s="36"/>
      <c r="J45" s="39">
        <f t="shared" ref="J45:J55" si="15">J44</f>
        <v>16.254000000000001</v>
      </c>
      <c r="K45" s="36">
        <f t="shared" si="5"/>
        <v>1141800</v>
      </c>
      <c r="L45" s="38">
        <f t="shared" si="6"/>
        <v>154656.81000000003</v>
      </c>
      <c r="M45" s="40">
        <f t="shared" si="12"/>
        <v>1296456.81</v>
      </c>
      <c r="N45" s="36"/>
      <c r="O45" s="50"/>
    </row>
    <row r="46" spans="1:15" x14ac:dyDescent="0.35">
      <c r="A46" s="35">
        <f t="shared" si="14"/>
        <v>2027</v>
      </c>
      <c r="B46" s="8">
        <f t="shared" si="13"/>
        <v>46478</v>
      </c>
      <c r="C46" s="8">
        <f>B46+30-1</f>
        <v>46507</v>
      </c>
      <c r="D46">
        <v>1</v>
      </c>
      <c r="E46" s="36">
        <f t="shared" si="9"/>
        <v>9515</v>
      </c>
      <c r="F46" s="36">
        <f t="shared" si="9"/>
        <v>883.96506874767749</v>
      </c>
      <c r="H46" s="38">
        <v>120</v>
      </c>
      <c r="I46" s="36"/>
      <c r="J46" s="39">
        <f t="shared" si="15"/>
        <v>16.254000000000001</v>
      </c>
      <c r="K46" s="36">
        <f t="shared" si="5"/>
        <v>1141800</v>
      </c>
      <c r="L46" s="38">
        <f t="shared" si="6"/>
        <v>154656.81000000003</v>
      </c>
      <c r="M46" s="40">
        <f t="shared" si="12"/>
        <v>1296456.81</v>
      </c>
      <c r="N46" s="36"/>
      <c r="O46" s="50"/>
    </row>
    <row r="47" spans="1:15" x14ac:dyDescent="0.35">
      <c r="A47" s="35">
        <f t="shared" si="14"/>
        <v>2027</v>
      </c>
      <c r="B47" s="8">
        <f t="shared" si="13"/>
        <v>46508</v>
      </c>
      <c r="C47" s="8">
        <f>B47+30</f>
        <v>46538</v>
      </c>
      <c r="D47">
        <v>1</v>
      </c>
      <c r="E47" s="36">
        <f t="shared" si="9"/>
        <v>9515</v>
      </c>
      <c r="F47" s="36">
        <f t="shared" si="9"/>
        <v>883.96506874767749</v>
      </c>
      <c r="H47" s="38">
        <v>120</v>
      </c>
      <c r="I47" s="36"/>
      <c r="J47" s="39">
        <f t="shared" si="15"/>
        <v>16.254000000000001</v>
      </c>
      <c r="K47" s="36">
        <f t="shared" si="5"/>
        <v>1141800</v>
      </c>
      <c r="L47" s="38">
        <f t="shared" si="6"/>
        <v>154656.81000000003</v>
      </c>
      <c r="M47" s="40">
        <f t="shared" si="12"/>
        <v>1296456.81</v>
      </c>
      <c r="N47" s="36"/>
      <c r="O47" s="50"/>
    </row>
    <row r="48" spans="1:15" x14ac:dyDescent="0.35">
      <c r="A48" s="35">
        <f t="shared" si="14"/>
        <v>2027</v>
      </c>
      <c r="B48" s="8">
        <f t="shared" si="13"/>
        <v>46539</v>
      </c>
      <c r="C48" s="8">
        <f>B48+30-1</f>
        <v>46568</v>
      </c>
      <c r="D48">
        <v>1</v>
      </c>
      <c r="E48" s="36">
        <f t="shared" si="9"/>
        <v>9515</v>
      </c>
      <c r="F48" s="36">
        <f t="shared" si="9"/>
        <v>883.96506874767749</v>
      </c>
      <c r="H48" s="38">
        <v>120</v>
      </c>
      <c r="I48" s="36"/>
      <c r="J48" s="39">
        <f t="shared" si="15"/>
        <v>16.254000000000001</v>
      </c>
      <c r="K48" s="36">
        <f t="shared" si="5"/>
        <v>1141800</v>
      </c>
      <c r="L48" s="38">
        <f t="shared" si="6"/>
        <v>154656.81000000003</v>
      </c>
      <c r="M48" s="40">
        <f t="shared" si="12"/>
        <v>1296456.81</v>
      </c>
      <c r="N48" s="36"/>
      <c r="O48" s="50"/>
    </row>
    <row r="49" spans="1:15" x14ac:dyDescent="0.35">
      <c r="A49" s="35">
        <f t="shared" si="14"/>
        <v>2027</v>
      </c>
      <c r="B49" s="8">
        <f t="shared" si="13"/>
        <v>46569</v>
      </c>
      <c r="C49" s="8">
        <f>B49+30</f>
        <v>46599</v>
      </c>
      <c r="D49">
        <v>1</v>
      </c>
      <c r="E49" s="36">
        <f t="shared" ref="E49:F64" si="16">E48</f>
        <v>9515</v>
      </c>
      <c r="F49" s="36">
        <f t="shared" si="16"/>
        <v>883.96506874767749</v>
      </c>
      <c r="H49" s="38">
        <v>120</v>
      </c>
      <c r="I49" s="36"/>
      <c r="J49" s="39">
        <f t="shared" si="15"/>
        <v>16.254000000000001</v>
      </c>
      <c r="K49" s="36">
        <f t="shared" si="5"/>
        <v>1141800</v>
      </c>
      <c r="L49" s="38">
        <f t="shared" si="6"/>
        <v>154656.81000000003</v>
      </c>
      <c r="M49" s="40">
        <f t="shared" si="12"/>
        <v>1296456.81</v>
      </c>
      <c r="N49" s="36"/>
      <c r="O49" s="50"/>
    </row>
    <row r="50" spans="1:15" x14ac:dyDescent="0.35">
      <c r="A50" s="35">
        <f t="shared" si="14"/>
        <v>2027</v>
      </c>
      <c r="B50" s="8">
        <f t="shared" si="13"/>
        <v>46600</v>
      </c>
      <c r="C50" s="8">
        <f>B50+30</f>
        <v>46630</v>
      </c>
      <c r="D50">
        <v>1</v>
      </c>
      <c r="E50" s="36">
        <f t="shared" si="16"/>
        <v>9515</v>
      </c>
      <c r="F50" s="36">
        <f t="shared" si="16"/>
        <v>883.96506874767749</v>
      </c>
      <c r="H50" s="38">
        <v>120</v>
      </c>
      <c r="I50" s="36"/>
      <c r="J50" s="39">
        <f t="shared" si="15"/>
        <v>16.254000000000001</v>
      </c>
      <c r="K50" s="36">
        <f t="shared" si="5"/>
        <v>1141800</v>
      </c>
      <c r="L50" s="38">
        <f t="shared" si="6"/>
        <v>154656.81000000003</v>
      </c>
      <c r="M50" s="40">
        <f t="shared" si="12"/>
        <v>1296456.81</v>
      </c>
      <c r="N50" s="36"/>
      <c r="O50" s="50"/>
    </row>
    <row r="51" spans="1:15" ht="15" thickBot="1" x14ac:dyDescent="0.4">
      <c r="A51" s="43">
        <f t="shared" si="14"/>
        <v>2027</v>
      </c>
      <c r="B51" s="44">
        <f t="shared" si="13"/>
        <v>46631</v>
      </c>
      <c r="C51" s="44">
        <f>B51+30-1</f>
        <v>46660</v>
      </c>
      <c r="D51" s="45">
        <v>1</v>
      </c>
      <c r="E51" s="46">
        <f t="shared" si="16"/>
        <v>9515</v>
      </c>
      <c r="F51" s="46">
        <f t="shared" si="16"/>
        <v>883.96506874767749</v>
      </c>
      <c r="G51" s="45"/>
      <c r="H51" s="47">
        <v>120</v>
      </c>
      <c r="I51" s="46"/>
      <c r="J51" s="48">
        <f t="shared" si="15"/>
        <v>16.254000000000001</v>
      </c>
      <c r="K51" s="46">
        <f t="shared" si="5"/>
        <v>1141800</v>
      </c>
      <c r="L51" s="47">
        <f t="shared" si="6"/>
        <v>154656.81000000003</v>
      </c>
      <c r="M51" s="49">
        <f t="shared" si="12"/>
        <v>1296456.81</v>
      </c>
      <c r="N51" s="46">
        <f>SUM(K40:K51)</f>
        <v>13701600</v>
      </c>
      <c r="O51" s="51">
        <f>SUM(L40:L51)</f>
        <v>1826423.2800000005</v>
      </c>
    </row>
    <row r="52" spans="1:15" x14ac:dyDescent="0.35">
      <c r="A52" s="25">
        <f>A51+1</f>
        <v>2028</v>
      </c>
      <c r="B52" s="26">
        <f t="shared" si="13"/>
        <v>46661</v>
      </c>
      <c r="C52" s="26">
        <f>B52+30</f>
        <v>46691</v>
      </c>
      <c r="D52" s="27">
        <v>1</v>
      </c>
      <c r="E52" s="28">
        <f t="shared" si="16"/>
        <v>9515</v>
      </c>
      <c r="F52" s="28">
        <f t="shared" si="16"/>
        <v>883.96506874767749</v>
      </c>
      <c r="G52" s="27"/>
      <c r="H52" s="30">
        <v>120</v>
      </c>
      <c r="I52" s="28"/>
      <c r="J52" s="31">
        <f t="shared" si="15"/>
        <v>16.254000000000001</v>
      </c>
      <c r="K52" s="28">
        <f t="shared" si="5"/>
        <v>1141800</v>
      </c>
      <c r="L52" s="30">
        <f t="shared" si="6"/>
        <v>154656.81000000003</v>
      </c>
      <c r="M52" s="32">
        <f t="shared" si="12"/>
        <v>1296456.81</v>
      </c>
      <c r="N52" s="28"/>
      <c r="O52" s="52"/>
    </row>
    <row r="53" spans="1:15" x14ac:dyDescent="0.35">
      <c r="A53" s="35">
        <f>A52</f>
        <v>2028</v>
      </c>
      <c r="B53" s="8">
        <f t="shared" si="13"/>
        <v>46692</v>
      </c>
      <c r="C53" s="8">
        <f>B53+30-1</f>
        <v>46721</v>
      </c>
      <c r="D53">
        <v>1</v>
      </c>
      <c r="E53" s="36">
        <f t="shared" si="16"/>
        <v>9515</v>
      </c>
      <c r="F53" s="36">
        <f t="shared" si="16"/>
        <v>883.96506874767749</v>
      </c>
      <c r="H53" s="38">
        <v>120</v>
      </c>
      <c r="I53" s="36"/>
      <c r="J53" s="39">
        <f t="shared" si="15"/>
        <v>16.254000000000001</v>
      </c>
      <c r="K53" s="36">
        <f t="shared" si="5"/>
        <v>1141800</v>
      </c>
      <c r="L53" s="38">
        <f t="shared" si="6"/>
        <v>154656.81000000003</v>
      </c>
      <c r="M53" s="40">
        <f t="shared" si="12"/>
        <v>1296456.81</v>
      </c>
      <c r="N53" s="36"/>
      <c r="O53" s="50"/>
    </row>
    <row r="54" spans="1:15" x14ac:dyDescent="0.35">
      <c r="A54" s="35">
        <f t="shared" ref="A54:A63" si="17">A53</f>
        <v>2028</v>
      </c>
      <c r="B54" s="8">
        <f t="shared" si="13"/>
        <v>46722</v>
      </c>
      <c r="C54" s="8">
        <f>B54+30</f>
        <v>46752</v>
      </c>
      <c r="D54">
        <v>1</v>
      </c>
      <c r="E54" s="36">
        <f t="shared" si="16"/>
        <v>9515</v>
      </c>
      <c r="F54" s="36">
        <f t="shared" si="16"/>
        <v>883.96506874767749</v>
      </c>
      <c r="H54" s="38">
        <v>120</v>
      </c>
      <c r="I54" s="36"/>
      <c r="J54" s="39">
        <f t="shared" si="15"/>
        <v>16.254000000000001</v>
      </c>
      <c r="K54" s="36">
        <f t="shared" si="5"/>
        <v>1141800</v>
      </c>
      <c r="L54" s="38">
        <f t="shared" si="6"/>
        <v>154656.81000000003</v>
      </c>
      <c r="M54" s="40">
        <f t="shared" si="12"/>
        <v>1296456.81</v>
      </c>
      <c r="N54" s="36"/>
      <c r="O54" s="50"/>
    </row>
    <row r="55" spans="1:15" x14ac:dyDescent="0.35">
      <c r="A55" s="35">
        <f t="shared" si="17"/>
        <v>2028</v>
      </c>
      <c r="B55" s="8">
        <f t="shared" si="13"/>
        <v>46753</v>
      </c>
      <c r="C55" s="8">
        <f>B55+30</f>
        <v>46783</v>
      </c>
      <c r="D55">
        <v>1</v>
      </c>
      <c r="E55" s="36">
        <f t="shared" si="16"/>
        <v>9515</v>
      </c>
      <c r="F55" s="36">
        <f t="shared" si="16"/>
        <v>883.96506874767749</v>
      </c>
      <c r="H55" s="38">
        <v>120</v>
      </c>
      <c r="I55" s="36"/>
      <c r="J55" s="39">
        <f t="shared" si="15"/>
        <v>16.254000000000001</v>
      </c>
      <c r="K55" s="36">
        <f t="shared" si="5"/>
        <v>1141800</v>
      </c>
      <c r="L55" s="38">
        <f t="shared" si="6"/>
        <v>154656.81000000003</v>
      </c>
      <c r="M55" s="40">
        <f t="shared" si="12"/>
        <v>1296456.81</v>
      </c>
      <c r="N55" s="36"/>
      <c r="O55" s="50"/>
    </row>
    <row r="56" spans="1:15" x14ac:dyDescent="0.35">
      <c r="A56" s="35">
        <f t="shared" si="17"/>
        <v>2028</v>
      </c>
      <c r="B56" s="8">
        <f t="shared" si="13"/>
        <v>46784</v>
      </c>
      <c r="C56" s="8">
        <f>B56+30-2</f>
        <v>46812</v>
      </c>
      <c r="D56">
        <v>1</v>
      </c>
      <c r="E56" s="36">
        <f t="shared" si="16"/>
        <v>9515</v>
      </c>
      <c r="F56" s="36">
        <f t="shared" si="16"/>
        <v>883.96506874767749</v>
      </c>
      <c r="H56" s="38">
        <v>120</v>
      </c>
      <c r="I56" s="36"/>
      <c r="J56" s="39">
        <f>J55*1.05</f>
        <v>17.066700000000001</v>
      </c>
      <c r="K56" s="36">
        <f t="shared" si="5"/>
        <v>1141800</v>
      </c>
      <c r="L56" s="38">
        <f t="shared" si="6"/>
        <v>162389.65050000002</v>
      </c>
      <c r="M56" s="40">
        <f t="shared" si="12"/>
        <v>1304189.6505</v>
      </c>
      <c r="N56" s="36"/>
      <c r="O56" s="50"/>
    </row>
    <row r="57" spans="1:15" x14ac:dyDescent="0.35">
      <c r="A57" s="35">
        <f t="shared" si="17"/>
        <v>2028</v>
      </c>
      <c r="B57" s="8">
        <f t="shared" si="13"/>
        <v>46813</v>
      </c>
      <c r="C57" s="8">
        <f>B57+30</f>
        <v>46843</v>
      </c>
      <c r="D57">
        <v>1</v>
      </c>
      <c r="E57" s="36">
        <f t="shared" si="16"/>
        <v>9515</v>
      </c>
      <c r="F57" s="36">
        <f t="shared" si="16"/>
        <v>883.96506874767749</v>
      </c>
      <c r="H57" s="38">
        <v>120</v>
      </c>
      <c r="I57" s="36"/>
      <c r="J57" s="39">
        <f t="shared" ref="J57:J87" si="18">J56</f>
        <v>17.066700000000001</v>
      </c>
      <c r="K57" s="36">
        <f t="shared" si="5"/>
        <v>1141800</v>
      </c>
      <c r="L57" s="38">
        <f t="shared" si="6"/>
        <v>162389.65050000002</v>
      </c>
      <c r="M57" s="40">
        <f t="shared" si="12"/>
        <v>1304189.6505</v>
      </c>
      <c r="N57" s="36"/>
      <c r="O57" s="50"/>
    </row>
    <row r="58" spans="1:15" x14ac:dyDescent="0.35">
      <c r="A58" s="35">
        <f t="shared" si="17"/>
        <v>2028</v>
      </c>
      <c r="B58" s="8">
        <f t="shared" si="13"/>
        <v>46844</v>
      </c>
      <c r="C58" s="8">
        <f>B58+30-1</f>
        <v>46873</v>
      </c>
      <c r="D58">
        <v>1</v>
      </c>
      <c r="E58" s="36">
        <f t="shared" si="16"/>
        <v>9515</v>
      </c>
      <c r="F58" s="36">
        <f t="shared" si="16"/>
        <v>883.96506874767749</v>
      </c>
      <c r="H58" s="38">
        <v>120</v>
      </c>
      <c r="I58" s="36"/>
      <c r="J58" s="39">
        <f t="shared" si="18"/>
        <v>17.066700000000001</v>
      </c>
      <c r="K58" s="36">
        <f t="shared" si="5"/>
        <v>1141800</v>
      </c>
      <c r="L58" s="38">
        <f t="shared" si="6"/>
        <v>162389.65050000002</v>
      </c>
      <c r="M58" s="40">
        <f t="shared" si="12"/>
        <v>1304189.6505</v>
      </c>
      <c r="N58" s="36"/>
      <c r="O58" s="50"/>
    </row>
    <row r="59" spans="1:15" x14ac:dyDescent="0.35">
      <c r="A59" s="35">
        <f t="shared" si="17"/>
        <v>2028</v>
      </c>
      <c r="B59" s="8">
        <f t="shared" si="13"/>
        <v>46874</v>
      </c>
      <c r="C59" s="8">
        <f>B59+30</f>
        <v>46904</v>
      </c>
      <c r="D59">
        <v>1</v>
      </c>
      <c r="E59" s="36">
        <f t="shared" si="16"/>
        <v>9515</v>
      </c>
      <c r="F59" s="36">
        <f t="shared" si="16"/>
        <v>883.96506874767749</v>
      </c>
      <c r="H59" s="38">
        <v>120</v>
      </c>
      <c r="I59" s="36"/>
      <c r="J59" s="39">
        <f t="shared" si="18"/>
        <v>17.066700000000001</v>
      </c>
      <c r="K59" s="36">
        <f t="shared" si="5"/>
        <v>1141800</v>
      </c>
      <c r="L59" s="38">
        <f t="shared" si="6"/>
        <v>162389.65050000002</v>
      </c>
      <c r="M59" s="40">
        <f t="shared" si="12"/>
        <v>1304189.6505</v>
      </c>
      <c r="N59" s="36"/>
      <c r="O59" s="50"/>
    </row>
    <row r="60" spans="1:15" x14ac:dyDescent="0.35">
      <c r="A60" s="35">
        <f t="shared" si="17"/>
        <v>2028</v>
      </c>
      <c r="B60" s="8">
        <f t="shared" si="13"/>
        <v>46905</v>
      </c>
      <c r="C60" s="8">
        <f>B60+30-1</f>
        <v>46934</v>
      </c>
      <c r="D60">
        <v>1</v>
      </c>
      <c r="E60" s="36">
        <f t="shared" si="16"/>
        <v>9515</v>
      </c>
      <c r="F60" s="36">
        <f t="shared" si="16"/>
        <v>883.96506874767749</v>
      </c>
      <c r="H60" s="38">
        <v>120</v>
      </c>
      <c r="I60" s="36"/>
      <c r="J60" s="39">
        <f t="shared" si="18"/>
        <v>17.066700000000001</v>
      </c>
      <c r="K60" s="36">
        <f t="shared" si="5"/>
        <v>1141800</v>
      </c>
      <c r="L60" s="38">
        <f t="shared" si="6"/>
        <v>162389.65050000002</v>
      </c>
      <c r="M60" s="40">
        <f t="shared" si="12"/>
        <v>1304189.6505</v>
      </c>
      <c r="N60" s="36"/>
      <c r="O60" s="50"/>
    </row>
    <row r="61" spans="1:15" x14ac:dyDescent="0.35">
      <c r="A61" s="35">
        <f t="shared" si="17"/>
        <v>2028</v>
      </c>
      <c r="B61" s="8">
        <f t="shared" si="13"/>
        <v>46935</v>
      </c>
      <c r="C61" s="8">
        <f>B61+30</f>
        <v>46965</v>
      </c>
      <c r="D61">
        <v>1</v>
      </c>
      <c r="E61" s="36">
        <f t="shared" si="16"/>
        <v>9515</v>
      </c>
      <c r="F61" s="36">
        <f t="shared" si="16"/>
        <v>883.96506874767749</v>
      </c>
      <c r="H61" s="38">
        <v>120</v>
      </c>
      <c r="I61" s="36"/>
      <c r="J61" s="39">
        <f>J60</f>
        <v>17.066700000000001</v>
      </c>
      <c r="K61" s="36">
        <f t="shared" si="5"/>
        <v>1141800</v>
      </c>
      <c r="L61" s="38">
        <f t="shared" si="6"/>
        <v>162389.65050000002</v>
      </c>
      <c r="M61" s="40">
        <f t="shared" si="12"/>
        <v>1304189.6505</v>
      </c>
      <c r="N61" s="36"/>
      <c r="O61" s="50"/>
    </row>
    <row r="62" spans="1:15" x14ac:dyDescent="0.35">
      <c r="A62" s="35">
        <f t="shared" si="17"/>
        <v>2028</v>
      </c>
      <c r="B62" s="8">
        <f t="shared" si="13"/>
        <v>46966</v>
      </c>
      <c r="C62" s="8">
        <f>B62+30</f>
        <v>46996</v>
      </c>
      <c r="D62">
        <v>1</v>
      </c>
      <c r="E62" s="36">
        <f t="shared" si="16"/>
        <v>9515</v>
      </c>
      <c r="F62" s="36">
        <f t="shared" si="16"/>
        <v>883.96506874767749</v>
      </c>
      <c r="H62" s="38">
        <v>120</v>
      </c>
      <c r="I62" s="36"/>
      <c r="J62" s="39">
        <f>J61</f>
        <v>17.066700000000001</v>
      </c>
      <c r="K62" s="36">
        <f t="shared" si="5"/>
        <v>1141800</v>
      </c>
      <c r="L62" s="38">
        <f t="shared" si="6"/>
        <v>162389.65050000002</v>
      </c>
      <c r="M62" s="40">
        <f t="shared" si="12"/>
        <v>1304189.6505</v>
      </c>
      <c r="N62" s="36"/>
      <c r="O62" s="50"/>
    </row>
    <row r="63" spans="1:15" ht="15" thickBot="1" x14ac:dyDescent="0.4">
      <c r="A63" s="35">
        <f t="shared" si="17"/>
        <v>2028</v>
      </c>
      <c r="B63" s="44">
        <f t="shared" si="13"/>
        <v>46997</v>
      </c>
      <c r="C63" s="44">
        <f>B63+30-1</f>
        <v>47026</v>
      </c>
      <c r="D63" s="45">
        <v>1</v>
      </c>
      <c r="E63" s="46">
        <f t="shared" si="16"/>
        <v>9515</v>
      </c>
      <c r="F63" s="46">
        <f t="shared" si="16"/>
        <v>883.96506874767749</v>
      </c>
      <c r="G63" s="45"/>
      <c r="H63" s="47">
        <v>120</v>
      </c>
      <c r="I63" s="46"/>
      <c r="J63" s="48">
        <f t="shared" ref="J63:J72" si="19">J62</f>
        <v>17.066700000000001</v>
      </c>
      <c r="K63" s="46">
        <f t="shared" si="5"/>
        <v>1141800</v>
      </c>
      <c r="L63" s="47">
        <f t="shared" si="6"/>
        <v>162389.65050000002</v>
      </c>
      <c r="M63" s="49">
        <f t="shared" si="12"/>
        <v>1304189.6505</v>
      </c>
      <c r="N63" s="46">
        <f>SUM(K52:K63)</f>
        <v>13701600</v>
      </c>
      <c r="O63" s="51">
        <f>SUM(L52:L63)</f>
        <v>1917744.4440000001</v>
      </c>
    </row>
    <row r="64" spans="1:15" x14ac:dyDescent="0.35">
      <c r="A64" s="25">
        <f>2028+1</f>
        <v>2029</v>
      </c>
      <c r="B64" s="26">
        <f t="shared" si="13"/>
        <v>47027</v>
      </c>
      <c r="C64" s="26">
        <f>B64+30</f>
        <v>47057</v>
      </c>
      <c r="D64" s="27">
        <v>1</v>
      </c>
      <c r="E64" s="28">
        <f t="shared" si="16"/>
        <v>9515</v>
      </c>
      <c r="F64" s="28">
        <f t="shared" si="16"/>
        <v>883.96506874767749</v>
      </c>
      <c r="G64" s="27"/>
      <c r="H64" s="30">
        <v>120</v>
      </c>
      <c r="I64" s="28"/>
      <c r="J64" s="31">
        <f t="shared" si="19"/>
        <v>17.066700000000001</v>
      </c>
      <c r="K64" s="28">
        <f t="shared" si="5"/>
        <v>1141800</v>
      </c>
      <c r="L64" s="30">
        <f t="shared" si="6"/>
        <v>162389.65050000002</v>
      </c>
      <c r="M64" s="32">
        <f t="shared" si="12"/>
        <v>1304189.6505</v>
      </c>
      <c r="N64" s="28"/>
      <c r="O64" s="52"/>
    </row>
    <row r="65" spans="1:15" x14ac:dyDescent="0.35">
      <c r="A65" s="35">
        <f>A64</f>
        <v>2029</v>
      </c>
      <c r="B65" s="8">
        <f t="shared" si="13"/>
        <v>47058</v>
      </c>
      <c r="C65" s="8">
        <f>B65+30-1</f>
        <v>47087</v>
      </c>
      <c r="D65">
        <v>1</v>
      </c>
      <c r="E65" s="36">
        <f t="shared" ref="E65:F80" si="20">E64</f>
        <v>9515</v>
      </c>
      <c r="F65" s="36">
        <f t="shared" si="20"/>
        <v>883.96506874767749</v>
      </c>
      <c r="H65" s="38">
        <v>120</v>
      </c>
      <c r="I65" s="36"/>
      <c r="J65" s="39">
        <f t="shared" si="19"/>
        <v>17.066700000000001</v>
      </c>
      <c r="K65" s="36">
        <f t="shared" si="5"/>
        <v>1141800</v>
      </c>
      <c r="L65" s="38">
        <f t="shared" si="6"/>
        <v>162389.65050000002</v>
      </c>
      <c r="M65" s="40">
        <f t="shared" si="12"/>
        <v>1304189.6505</v>
      </c>
      <c r="N65" s="36"/>
      <c r="O65" s="50"/>
    </row>
    <row r="66" spans="1:15" x14ac:dyDescent="0.35">
      <c r="A66" s="35">
        <f t="shared" ref="A66:A75" si="21">A65</f>
        <v>2029</v>
      </c>
      <c r="B66" s="8">
        <f t="shared" si="13"/>
        <v>47088</v>
      </c>
      <c r="C66" s="8">
        <f>B66+30</f>
        <v>47118</v>
      </c>
      <c r="D66">
        <v>1</v>
      </c>
      <c r="E66" s="36">
        <f t="shared" si="20"/>
        <v>9515</v>
      </c>
      <c r="F66" s="36">
        <f t="shared" si="20"/>
        <v>883.96506874767749</v>
      </c>
      <c r="H66" s="38">
        <v>120</v>
      </c>
      <c r="I66" s="36"/>
      <c r="J66" s="39">
        <f t="shared" si="19"/>
        <v>17.066700000000001</v>
      </c>
      <c r="K66" s="36">
        <f t="shared" si="5"/>
        <v>1141800</v>
      </c>
      <c r="L66" s="38">
        <f t="shared" si="6"/>
        <v>162389.65050000002</v>
      </c>
      <c r="M66" s="40">
        <f t="shared" si="12"/>
        <v>1304189.6505</v>
      </c>
      <c r="N66" s="36"/>
      <c r="O66" s="50"/>
    </row>
    <row r="67" spans="1:15" x14ac:dyDescent="0.35">
      <c r="A67" s="35">
        <f t="shared" si="21"/>
        <v>2029</v>
      </c>
      <c r="B67" s="8">
        <f t="shared" si="13"/>
        <v>47119</v>
      </c>
      <c r="C67" s="8">
        <f>B67+30</f>
        <v>47149</v>
      </c>
      <c r="D67">
        <v>1</v>
      </c>
      <c r="E67" s="36">
        <f t="shared" si="20"/>
        <v>9515</v>
      </c>
      <c r="F67" s="36">
        <f t="shared" si="20"/>
        <v>883.96506874767749</v>
      </c>
      <c r="H67" s="38">
        <f>H66*1.15</f>
        <v>138</v>
      </c>
      <c r="I67" s="36"/>
      <c r="J67" s="39">
        <f>J66*1.05</f>
        <v>17.920035000000002</v>
      </c>
      <c r="K67" s="36">
        <f t="shared" si="5"/>
        <v>1313070</v>
      </c>
      <c r="L67" s="38">
        <f t="shared" si="6"/>
        <v>170509.13302500002</v>
      </c>
      <c r="M67" s="40">
        <f t="shared" si="12"/>
        <v>1483579.1330250001</v>
      </c>
      <c r="N67" s="36"/>
      <c r="O67" s="50"/>
    </row>
    <row r="68" spans="1:15" x14ac:dyDescent="0.35">
      <c r="A68" s="35">
        <f t="shared" si="21"/>
        <v>2029</v>
      </c>
      <c r="B68" s="8">
        <f t="shared" si="13"/>
        <v>47150</v>
      </c>
      <c r="C68" s="8">
        <f>B68+30-3</f>
        <v>47177</v>
      </c>
      <c r="D68">
        <v>1</v>
      </c>
      <c r="E68" s="36">
        <f t="shared" si="20"/>
        <v>9515</v>
      </c>
      <c r="F68" s="36">
        <f t="shared" si="20"/>
        <v>883.96506874767749</v>
      </c>
      <c r="H68" s="38">
        <f>H67</f>
        <v>138</v>
      </c>
      <c r="I68" s="36"/>
      <c r="J68" s="39">
        <f>J67</f>
        <v>17.920035000000002</v>
      </c>
      <c r="K68" s="36">
        <f t="shared" si="5"/>
        <v>1313070</v>
      </c>
      <c r="L68" s="38">
        <f t="shared" si="6"/>
        <v>170509.13302500002</v>
      </c>
      <c r="M68" s="40">
        <f t="shared" si="12"/>
        <v>1483579.1330250001</v>
      </c>
      <c r="N68" s="36"/>
      <c r="O68" s="50"/>
    </row>
    <row r="69" spans="1:15" x14ac:dyDescent="0.35">
      <c r="A69" s="35">
        <f t="shared" si="21"/>
        <v>2029</v>
      </c>
      <c r="B69" s="8">
        <f t="shared" si="13"/>
        <v>47178</v>
      </c>
      <c r="C69" s="8">
        <f>B69+30</f>
        <v>47208</v>
      </c>
      <c r="D69">
        <v>1</v>
      </c>
      <c r="E69" s="36">
        <f t="shared" si="20"/>
        <v>9515</v>
      </c>
      <c r="F69" s="36">
        <f t="shared" si="20"/>
        <v>883.96506874767749</v>
      </c>
      <c r="H69" s="38">
        <f t="shared" ref="H69:H102" si="22">H68</f>
        <v>138</v>
      </c>
      <c r="I69" s="36"/>
      <c r="J69" s="39">
        <f t="shared" si="19"/>
        <v>17.920035000000002</v>
      </c>
      <c r="K69" s="36">
        <f t="shared" si="5"/>
        <v>1313070</v>
      </c>
      <c r="L69" s="38">
        <f t="shared" si="6"/>
        <v>170509.13302500002</v>
      </c>
      <c r="M69" s="40">
        <f t="shared" si="12"/>
        <v>1483579.1330250001</v>
      </c>
      <c r="N69" s="36"/>
      <c r="O69" s="50"/>
    </row>
    <row r="70" spans="1:15" x14ac:dyDescent="0.35">
      <c r="A70" s="35">
        <f t="shared" si="21"/>
        <v>2029</v>
      </c>
      <c r="B70" s="8">
        <f t="shared" si="13"/>
        <v>47209</v>
      </c>
      <c r="C70" s="8">
        <f>B70+30-1</f>
        <v>47238</v>
      </c>
      <c r="D70">
        <v>1</v>
      </c>
      <c r="E70" s="36">
        <f t="shared" si="20"/>
        <v>9515</v>
      </c>
      <c r="F70" s="36">
        <f t="shared" si="20"/>
        <v>883.96506874767749</v>
      </c>
      <c r="H70" s="38">
        <f t="shared" si="22"/>
        <v>138</v>
      </c>
      <c r="I70" s="36"/>
      <c r="J70" s="39">
        <f t="shared" si="19"/>
        <v>17.920035000000002</v>
      </c>
      <c r="K70" s="36">
        <f t="shared" si="5"/>
        <v>1313070</v>
      </c>
      <c r="L70" s="38">
        <f t="shared" si="6"/>
        <v>170509.13302500002</v>
      </c>
      <c r="M70" s="40">
        <f t="shared" si="12"/>
        <v>1483579.1330250001</v>
      </c>
      <c r="N70" s="36"/>
      <c r="O70" s="50"/>
    </row>
    <row r="71" spans="1:15" x14ac:dyDescent="0.35">
      <c r="A71" s="35">
        <f t="shared" si="21"/>
        <v>2029</v>
      </c>
      <c r="B71" s="8">
        <f t="shared" si="13"/>
        <v>47239</v>
      </c>
      <c r="C71" s="8">
        <f>B71+30</f>
        <v>47269</v>
      </c>
      <c r="D71">
        <v>1</v>
      </c>
      <c r="E71" s="36">
        <f t="shared" si="20"/>
        <v>9515</v>
      </c>
      <c r="F71" s="36">
        <f t="shared" si="20"/>
        <v>883.96506874767749</v>
      </c>
      <c r="H71" s="38">
        <f t="shared" si="22"/>
        <v>138</v>
      </c>
      <c r="I71" s="36"/>
      <c r="J71" s="39">
        <f t="shared" si="19"/>
        <v>17.920035000000002</v>
      </c>
      <c r="K71" s="36">
        <f t="shared" si="5"/>
        <v>1313070</v>
      </c>
      <c r="L71" s="38">
        <f t="shared" si="6"/>
        <v>170509.13302500002</v>
      </c>
      <c r="M71" s="40">
        <f t="shared" si="12"/>
        <v>1483579.1330250001</v>
      </c>
      <c r="N71" s="36"/>
      <c r="O71" s="50"/>
    </row>
    <row r="72" spans="1:15" x14ac:dyDescent="0.35">
      <c r="A72" s="35">
        <f t="shared" si="21"/>
        <v>2029</v>
      </c>
      <c r="B72" s="8">
        <f t="shared" si="13"/>
        <v>47270</v>
      </c>
      <c r="C72" s="8">
        <f>B72+30-1</f>
        <v>47299</v>
      </c>
      <c r="D72">
        <v>1</v>
      </c>
      <c r="E72" s="36">
        <f t="shared" si="20"/>
        <v>9515</v>
      </c>
      <c r="F72" s="36">
        <f t="shared" si="20"/>
        <v>883.96506874767749</v>
      </c>
      <c r="H72" s="38">
        <f t="shared" si="22"/>
        <v>138</v>
      </c>
      <c r="I72" s="36"/>
      <c r="J72" s="39">
        <f t="shared" si="19"/>
        <v>17.920035000000002</v>
      </c>
      <c r="K72" s="36">
        <f t="shared" si="5"/>
        <v>1313070</v>
      </c>
      <c r="L72" s="38">
        <f t="shared" si="6"/>
        <v>170509.13302500002</v>
      </c>
      <c r="M72" s="40">
        <f t="shared" si="12"/>
        <v>1483579.1330250001</v>
      </c>
      <c r="N72" s="36"/>
      <c r="O72" s="50"/>
    </row>
    <row r="73" spans="1:15" x14ac:dyDescent="0.35">
      <c r="A73" s="35">
        <f t="shared" si="21"/>
        <v>2029</v>
      </c>
      <c r="B73" s="8">
        <f t="shared" si="13"/>
        <v>47300</v>
      </c>
      <c r="C73" s="8">
        <f>B73+30</f>
        <v>47330</v>
      </c>
      <c r="D73">
        <v>1</v>
      </c>
      <c r="E73" s="36">
        <f t="shared" si="20"/>
        <v>9515</v>
      </c>
      <c r="F73" s="36">
        <f t="shared" si="20"/>
        <v>883.96506874767749</v>
      </c>
      <c r="H73" s="38">
        <f t="shared" si="22"/>
        <v>138</v>
      </c>
      <c r="I73" s="36"/>
      <c r="J73" s="39">
        <f>J72</f>
        <v>17.920035000000002</v>
      </c>
      <c r="K73" s="36">
        <f t="shared" si="5"/>
        <v>1313070</v>
      </c>
      <c r="L73" s="38">
        <f t="shared" si="6"/>
        <v>170509.13302500002</v>
      </c>
      <c r="M73" s="40">
        <f t="shared" si="12"/>
        <v>1483579.1330250001</v>
      </c>
      <c r="N73" s="36"/>
      <c r="O73" s="50"/>
    </row>
    <row r="74" spans="1:15" x14ac:dyDescent="0.35">
      <c r="A74" s="35">
        <f t="shared" si="21"/>
        <v>2029</v>
      </c>
      <c r="B74" s="8">
        <f t="shared" si="13"/>
        <v>47331</v>
      </c>
      <c r="C74" s="8">
        <f t="shared" ref="C74" si="23">B74+30</f>
        <v>47361</v>
      </c>
      <c r="D74">
        <v>1</v>
      </c>
      <c r="E74" s="36">
        <f t="shared" si="20"/>
        <v>9515</v>
      </c>
      <c r="F74" s="36">
        <f t="shared" si="20"/>
        <v>883.96506874767749</v>
      </c>
      <c r="H74" s="38">
        <f t="shared" si="22"/>
        <v>138</v>
      </c>
      <c r="I74" s="36"/>
      <c r="J74" s="39">
        <f t="shared" si="18"/>
        <v>17.920035000000002</v>
      </c>
      <c r="K74" s="36">
        <f t="shared" si="5"/>
        <v>1313070</v>
      </c>
      <c r="L74" s="38">
        <f t="shared" si="6"/>
        <v>170509.13302500002</v>
      </c>
      <c r="M74" s="40">
        <f t="shared" si="12"/>
        <v>1483579.1330250001</v>
      </c>
      <c r="N74" s="36"/>
      <c r="O74" s="50"/>
    </row>
    <row r="75" spans="1:15" ht="15" thickBot="1" x14ac:dyDescent="0.4">
      <c r="A75" s="43">
        <f t="shared" si="21"/>
        <v>2029</v>
      </c>
      <c r="B75" s="44">
        <f t="shared" si="13"/>
        <v>47362</v>
      </c>
      <c r="C75" s="44">
        <f>B75+30-1</f>
        <v>47391</v>
      </c>
      <c r="D75" s="45">
        <v>1</v>
      </c>
      <c r="E75" s="46">
        <f t="shared" si="20"/>
        <v>9515</v>
      </c>
      <c r="F75" s="46">
        <f t="shared" si="20"/>
        <v>883.96506874767749</v>
      </c>
      <c r="G75" s="45"/>
      <c r="H75" s="47">
        <f t="shared" si="22"/>
        <v>138</v>
      </c>
      <c r="I75" s="46"/>
      <c r="J75" s="48">
        <f t="shared" si="18"/>
        <v>17.920035000000002</v>
      </c>
      <c r="K75" s="46">
        <f t="shared" si="5"/>
        <v>1313070</v>
      </c>
      <c r="L75" s="47">
        <f t="shared" si="6"/>
        <v>170509.13302500002</v>
      </c>
      <c r="M75" s="49">
        <f t="shared" si="12"/>
        <v>1483579.1330250001</v>
      </c>
      <c r="N75" s="46">
        <f>SUM(K64:K75)</f>
        <v>15243030</v>
      </c>
      <c r="O75" s="51">
        <f>SUM(L64:L75)</f>
        <v>2021751.1487250007</v>
      </c>
    </row>
    <row r="76" spans="1:15" x14ac:dyDescent="0.35">
      <c r="A76" s="25">
        <f>A75+1</f>
        <v>2030</v>
      </c>
      <c r="B76" s="26">
        <f t="shared" si="13"/>
        <v>47392</v>
      </c>
      <c r="C76" s="26">
        <f>B76+30</f>
        <v>47422</v>
      </c>
      <c r="D76" s="27">
        <v>1</v>
      </c>
      <c r="E76" s="28">
        <f t="shared" si="20"/>
        <v>9515</v>
      </c>
      <c r="F76" s="28">
        <f t="shared" si="20"/>
        <v>883.96506874767749</v>
      </c>
      <c r="G76" s="27"/>
      <c r="H76" s="30">
        <f t="shared" si="22"/>
        <v>138</v>
      </c>
      <c r="I76" s="28"/>
      <c r="J76" s="31">
        <f t="shared" si="18"/>
        <v>17.920035000000002</v>
      </c>
      <c r="K76" s="28">
        <f t="shared" si="5"/>
        <v>1313070</v>
      </c>
      <c r="L76" s="30">
        <f t="shared" si="6"/>
        <v>170509.13302500002</v>
      </c>
      <c r="M76" s="32">
        <f t="shared" si="12"/>
        <v>1483579.1330250001</v>
      </c>
      <c r="N76" s="28"/>
      <c r="O76" s="52"/>
    </row>
    <row r="77" spans="1:15" x14ac:dyDescent="0.35">
      <c r="A77" s="35">
        <f>A76</f>
        <v>2030</v>
      </c>
      <c r="B77" s="8">
        <f t="shared" si="13"/>
        <v>47423</v>
      </c>
      <c r="C77" s="8">
        <f>B77+30-1</f>
        <v>47452</v>
      </c>
      <c r="D77">
        <v>1</v>
      </c>
      <c r="E77" s="36">
        <f t="shared" si="20"/>
        <v>9515</v>
      </c>
      <c r="F77" s="36">
        <f t="shared" si="20"/>
        <v>883.96506874767749</v>
      </c>
      <c r="H77" s="38">
        <f t="shared" si="22"/>
        <v>138</v>
      </c>
      <c r="I77" s="36"/>
      <c r="J77" s="39">
        <f t="shared" si="18"/>
        <v>17.920035000000002</v>
      </c>
      <c r="K77" s="36">
        <f t="shared" si="5"/>
        <v>1313070</v>
      </c>
      <c r="L77" s="38">
        <f t="shared" si="6"/>
        <v>170509.13302500002</v>
      </c>
      <c r="M77" s="40">
        <f t="shared" si="12"/>
        <v>1483579.1330250001</v>
      </c>
      <c r="N77" s="36"/>
      <c r="O77" s="50"/>
    </row>
    <row r="78" spans="1:15" x14ac:dyDescent="0.35">
      <c r="A78" s="35">
        <f t="shared" ref="A78:A87" si="24">A77</f>
        <v>2030</v>
      </c>
      <c r="B78" s="8">
        <f t="shared" si="13"/>
        <v>47453</v>
      </c>
      <c r="C78" s="8">
        <f>B78+30</f>
        <v>47483</v>
      </c>
      <c r="D78">
        <v>1</v>
      </c>
      <c r="E78" s="36">
        <f t="shared" si="20"/>
        <v>9515</v>
      </c>
      <c r="F78" s="36">
        <f t="shared" si="20"/>
        <v>883.96506874767749</v>
      </c>
      <c r="H78" s="38">
        <f t="shared" si="22"/>
        <v>138</v>
      </c>
      <c r="I78" s="36"/>
      <c r="J78" s="39">
        <f t="shared" si="18"/>
        <v>17.920035000000002</v>
      </c>
      <c r="K78" s="36">
        <f t="shared" si="5"/>
        <v>1313070</v>
      </c>
      <c r="L78" s="38">
        <f t="shared" si="6"/>
        <v>170509.13302500002</v>
      </c>
      <c r="M78" s="40">
        <f t="shared" si="12"/>
        <v>1483579.1330250001</v>
      </c>
      <c r="N78" s="36"/>
      <c r="O78" s="50"/>
    </row>
    <row r="79" spans="1:15" x14ac:dyDescent="0.35">
      <c r="A79" s="35">
        <f t="shared" si="24"/>
        <v>2030</v>
      </c>
      <c r="B79" s="8">
        <f t="shared" si="13"/>
        <v>47484</v>
      </c>
      <c r="C79" s="8">
        <f>B79+30</f>
        <v>47514</v>
      </c>
      <c r="D79">
        <v>1</v>
      </c>
      <c r="E79" s="36">
        <f t="shared" si="20"/>
        <v>9515</v>
      </c>
      <c r="F79" s="36">
        <f t="shared" si="20"/>
        <v>883.96506874767749</v>
      </c>
      <c r="H79" s="38">
        <f t="shared" si="22"/>
        <v>138</v>
      </c>
      <c r="I79" s="36"/>
      <c r="J79" s="39">
        <f t="shared" si="18"/>
        <v>17.920035000000002</v>
      </c>
      <c r="K79" s="36">
        <f t="shared" si="5"/>
        <v>1313070</v>
      </c>
      <c r="L79" s="38">
        <f t="shared" si="6"/>
        <v>170509.13302500002</v>
      </c>
      <c r="M79" s="40">
        <f t="shared" si="12"/>
        <v>1483579.1330250001</v>
      </c>
      <c r="N79" s="36"/>
      <c r="O79" s="50"/>
    </row>
    <row r="80" spans="1:15" x14ac:dyDescent="0.35">
      <c r="A80" s="35">
        <f t="shared" si="24"/>
        <v>2030</v>
      </c>
      <c r="B80" s="8">
        <f t="shared" si="13"/>
        <v>47515</v>
      </c>
      <c r="C80" s="8">
        <f>B80+30-3</f>
        <v>47542</v>
      </c>
      <c r="D80">
        <v>1</v>
      </c>
      <c r="E80" s="36">
        <f t="shared" si="20"/>
        <v>9515</v>
      </c>
      <c r="F80" s="36">
        <f t="shared" si="20"/>
        <v>883.96506874767749</v>
      </c>
      <c r="H80" s="38">
        <f t="shared" si="22"/>
        <v>138</v>
      </c>
      <c r="I80" s="36"/>
      <c r="J80" s="39">
        <f>J79*1.05</f>
        <v>18.816036750000002</v>
      </c>
      <c r="K80" s="36">
        <f t="shared" si="5"/>
        <v>1313070</v>
      </c>
      <c r="L80" s="38">
        <f t="shared" si="6"/>
        <v>179034.58967625003</v>
      </c>
      <c r="M80" s="40">
        <f t="shared" si="12"/>
        <v>1492104.58967625</v>
      </c>
      <c r="N80" s="36"/>
      <c r="O80" s="50"/>
    </row>
    <row r="81" spans="1:15" x14ac:dyDescent="0.35">
      <c r="A81" s="35">
        <f t="shared" si="24"/>
        <v>2030</v>
      </c>
      <c r="B81" s="8">
        <f t="shared" si="13"/>
        <v>47543</v>
      </c>
      <c r="C81" s="8">
        <f>B81+30</f>
        <v>47573</v>
      </c>
      <c r="D81">
        <v>1</v>
      </c>
      <c r="E81" s="36">
        <f t="shared" ref="E81:F96" si="25">E80</f>
        <v>9515</v>
      </c>
      <c r="F81" s="36">
        <f t="shared" si="25"/>
        <v>883.96506874767749</v>
      </c>
      <c r="H81" s="38">
        <f t="shared" si="22"/>
        <v>138</v>
      </c>
      <c r="I81" s="36"/>
      <c r="J81" s="39">
        <f t="shared" si="18"/>
        <v>18.816036750000002</v>
      </c>
      <c r="K81" s="36">
        <f t="shared" si="5"/>
        <v>1313070</v>
      </c>
      <c r="L81" s="38">
        <f t="shared" si="6"/>
        <v>179034.58967625003</v>
      </c>
      <c r="M81" s="40">
        <f t="shared" si="12"/>
        <v>1492104.58967625</v>
      </c>
      <c r="N81" s="36"/>
      <c r="O81" s="50"/>
    </row>
    <row r="82" spans="1:15" x14ac:dyDescent="0.35">
      <c r="A82" s="35">
        <f t="shared" si="24"/>
        <v>2030</v>
      </c>
      <c r="B82" s="8">
        <f t="shared" si="13"/>
        <v>47574</v>
      </c>
      <c r="C82" s="8">
        <f>B82+30-1</f>
        <v>47603</v>
      </c>
      <c r="D82">
        <v>1</v>
      </c>
      <c r="E82" s="36">
        <f t="shared" si="25"/>
        <v>9515</v>
      </c>
      <c r="F82" s="36">
        <f t="shared" si="25"/>
        <v>883.96506874767749</v>
      </c>
      <c r="H82" s="38">
        <f t="shared" si="22"/>
        <v>138</v>
      </c>
      <c r="I82" s="36"/>
      <c r="J82" s="39">
        <f t="shared" si="18"/>
        <v>18.816036750000002</v>
      </c>
      <c r="K82" s="36">
        <f t="shared" si="5"/>
        <v>1313070</v>
      </c>
      <c r="L82" s="38">
        <f t="shared" si="6"/>
        <v>179034.58967625003</v>
      </c>
      <c r="M82" s="40">
        <f t="shared" si="12"/>
        <v>1492104.58967625</v>
      </c>
      <c r="N82" s="36"/>
      <c r="O82" s="50"/>
    </row>
    <row r="83" spans="1:15" x14ac:dyDescent="0.35">
      <c r="A83" s="35">
        <f t="shared" si="24"/>
        <v>2030</v>
      </c>
      <c r="B83" s="8">
        <f t="shared" si="13"/>
        <v>47604</v>
      </c>
      <c r="C83" s="8">
        <f>B83+30</f>
        <v>47634</v>
      </c>
      <c r="D83">
        <v>1</v>
      </c>
      <c r="E83" s="36">
        <f t="shared" si="25"/>
        <v>9515</v>
      </c>
      <c r="F83" s="36">
        <f t="shared" si="25"/>
        <v>883.96506874767749</v>
      </c>
      <c r="H83" s="38">
        <f t="shared" si="22"/>
        <v>138</v>
      </c>
      <c r="I83" s="36"/>
      <c r="J83" s="39">
        <f t="shared" si="18"/>
        <v>18.816036750000002</v>
      </c>
      <c r="K83" s="36">
        <f t="shared" si="5"/>
        <v>1313070</v>
      </c>
      <c r="L83" s="38">
        <f t="shared" si="6"/>
        <v>179034.58967625003</v>
      </c>
      <c r="M83" s="40">
        <f t="shared" si="12"/>
        <v>1492104.58967625</v>
      </c>
      <c r="N83" s="36"/>
      <c r="O83" s="50"/>
    </row>
    <row r="84" spans="1:15" x14ac:dyDescent="0.35">
      <c r="A84" s="35">
        <f t="shared" si="24"/>
        <v>2030</v>
      </c>
      <c r="B84" s="8">
        <f t="shared" si="13"/>
        <v>47635</v>
      </c>
      <c r="C84" s="8">
        <f>B84+30-1</f>
        <v>47664</v>
      </c>
      <c r="D84">
        <v>1</v>
      </c>
      <c r="E84" s="36">
        <f t="shared" si="25"/>
        <v>9515</v>
      </c>
      <c r="F84" s="36">
        <f t="shared" si="25"/>
        <v>883.96506874767749</v>
      </c>
      <c r="H84" s="38">
        <f t="shared" si="22"/>
        <v>138</v>
      </c>
      <c r="I84" s="36"/>
      <c r="J84" s="39">
        <f t="shared" si="18"/>
        <v>18.816036750000002</v>
      </c>
      <c r="K84" s="36">
        <f t="shared" si="5"/>
        <v>1313070</v>
      </c>
      <c r="L84" s="38">
        <f t="shared" si="6"/>
        <v>179034.58967625003</v>
      </c>
      <c r="M84" s="40">
        <f t="shared" si="12"/>
        <v>1492104.58967625</v>
      </c>
      <c r="N84" s="36"/>
      <c r="O84" s="50"/>
    </row>
    <row r="85" spans="1:15" x14ac:dyDescent="0.35">
      <c r="A85" s="35">
        <f t="shared" si="24"/>
        <v>2030</v>
      </c>
      <c r="B85" s="8">
        <f t="shared" si="13"/>
        <v>47665</v>
      </c>
      <c r="C85" s="8">
        <f t="shared" ref="C85:C90" si="26">B85+30</f>
        <v>47695</v>
      </c>
      <c r="D85">
        <v>1</v>
      </c>
      <c r="E85" s="36">
        <f t="shared" si="25"/>
        <v>9515</v>
      </c>
      <c r="F85" s="36">
        <f t="shared" si="25"/>
        <v>883.96506874767749</v>
      </c>
      <c r="H85" s="38">
        <f t="shared" si="22"/>
        <v>138</v>
      </c>
      <c r="I85" s="36"/>
      <c r="J85" s="39">
        <f t="shared" si="18"/>
        <v>18.816036750000002</v>
      </c>
      <c r="K85" s="36">
        <f t="shared" si="5"/>
        <v>1313070</v>
      </c>
      <c r="L85" s="38">
        <f t="shared" si="6"/>
        <v>179034.58967625003</v>
      </c>
      <c r="M85" s="40">
        <f t="shared" si="12"/>
        <v>1492104.58967625</v>
      </c>
      <c r="N85" s="36"/>
      <c r="O85" s="50"/>
    </row>
    <row r="86" spans="1:15" x14ac:dyDescent="0.35">
      <c r="A86" s="35">
        <f t="shared" si="24"/>
        <v>2030</v>
      </c>
      <c r="B86" s="8">
        <f t="shared" si="13"/>
        <v>47696</v>
      </c>
      <c r="C86" s="8">
        <f t="shared" si="26"/>
        <v>47726</v>
      </c>
      <c r="D86">
        <v>1</v>
      </c>
      <c r="E86" s="36">
        <f t="shared" si="25"/>
        <v>9515</v>
      </c>
      <c r="F86" s="36">
        <f t="shared" si="25"/>
        <v>883.96506874767749</v>
      </c>
      <c r="H86" s="38">
        <f t="shared" si="22"/>
        <v>138</v>
      </c>
      <c r="I86" s="36"/>
      <c r="J86" s="39">
        <f t="shared" si="18"/>
        <v>18.816036750000002</v>
      </c>
      <c r="K86" s="36">
        <f t="shared" si="5"/>
        <v>1313070</v>
      </c>
      <c r="L86" s="38">
        <f t="shared" si="6"/>
        <v>179034.58967625003</v>
      </c>
      <c r="M86" s="40">
        <f t="shared" si="12"/>
        <v>1492104.58967625</v>
      </c>
      <c r="N86" s="36"/>
      <c r="O86" s="50"/>
    </row>
    <row r="87" spans="1:15" ht="15" thickBot="1" x14ac:dyDescent="0.4">
      <c r="A87" s="43">
        <f t="shared" si="24"/>
        <v>2030</v>
      </c>
      <c r="B87" s="44">
        <f t="shared" si="13"/>
        <v>47727</v>
      </c>
      <c r="C87" s="44">
        <f>B87+30-1</f>
        <v>47756</v>
      </c>
      <c r="D87" s="45">
        <v>1</v>
      </c>
      <c r="E87" s="46">
        <f t="shared" si="25"/>
        <v>9515</v>
      </c>
      <c r="F87" s="46">
        <f t="shared" si="25"/>
        <v>883.96506874767749</v>
      </c>
      <c r="G87" s="45"/>
      <c r="H87" s="47">
        <f t="shared" si="22"/>
        <v>138</v>
      </c>
      <c r="I87" s="46"/>
      <c r="J87" s="48">
        <f t="shared" si="18"/>
        <v>18.816036750000002</v>
      </c>
      <c r="K87" s="46">
        <f t="shared" si="5"/>
        <v>1313070</v>
      </c>
      <c r="L87" s="47">
        <f t="shared" si="6"/>
        <v>179034.58967625003</v>
      </c>
      <c r="M87" s="49">
        <f t="shared" si="12"/>
        <v>1492104.58967625</v>
      </c>
      <c r="N87" s="46">
        <f>SUM(K76:K87)</f>
        <v>15756840</v>
      </c>
      <c r="O87" s="51">
        <f>SUM(L76:L87)</f>
        <v>2114313.2495100005</v>
      </c>
    </row>
    <row r="88" spans="1:15" x14ac:dyDescent="0.35">
      <c r="A88" s="25">
        <f>A87+1</f>
        <v>2031</v>
      </c>
      <c r="B88" s="26">
        <f t="shared" si="13"/>
        <v>47757</v>
      </c>
      <c r="C88" s="26">
        <f t="shared" si="26"/>
        <v>47787</v>
      </c>
      <c r="D88" s="27">
        <v>1</v>
      </c>
      <c r="E88" s="28">
        <f t="shared" si="25"/>
        <v>9515</v>
      </c>
      <c r="F88" s="28">
        <f t="shared" si="25"/>
        <v>883.96506874767749</v>
      </c>
      <c r="G88" s="27"/>
      <c r="H88" s="30">
        <f t="shared" si="22"/>
        <v>138</v>
      </c>
      <c r="I88" s="28"/>
      <c r="J88" s="31">
        <f>J87</f>
        <v>18.816036750000002</v>
      </c>
      <c r="K88" s="28">
        <f t="shared" si="5"/>
        <v>1313070</v>
      </c>
      <c r="L88" s="30">
        <f t="shared" si="6"/>
        <v>179034.58967625003</v>
      </c>
      <c r="M88" s="32">
        <f t="shared" si="12"/>
        <v>1492104.58967625</v>
      </c>
      <c r="N88" s="28"/>
      <c r="O88" s="52"/>
    </row>
    <row r="89" spans="1:15" x14ac:dyDescent="0.35">
      <c r="A89" s="35">
        <f>A88</f>
        <v>2031</v>
      </c>
      <c r="B89" s="8">
        <f t="shared" si="13"/>
        <v>47788</v>
      </c>
      <c r="C89" s="8">
        <f>B89+30-1</f>
        <v>47817</v>
      </c>
      <c r="D89">
        <v>1</v>
      </c>
      <c r="E89" s="36">
        <f t="shared" si="25"/>
        <v>9515</v>
      </c>
      <c r="F89" s="36">
        <f t="shared" si="25"/>
        <v>883.96506874767749</v>
      </c>
      <c r="H89" s="38">
        <f t="shared" si="22"/>
        <v>138</v>
      </c>
      <c r="I89" s="36"/>
      <c r="J89" s="39">
        <f t="shared" ref="J89:J91" si="27">J88</f>
        <v>18.816036750000002</v>
      </c>
      <c r="K89" s="36">
        <f t="shared" si="5"/>
        <v>1313070</v>
      </c>
      <c r="L89" s="38">
        <f t="shared" si="6"/>
        <v>179034.58967625003</v>
      </c>
      <c r="M89" s="40">
        <f t="shared" si="12"/>
        <v>1492104.58967625</v>
      </c>
      <c r="N89" s="36"/>
      <c r="O89" s="50"/>
    </row>
    <row r="90" spans="1:15" x14ac:dyDescent="0.35">
      <c r="A90" s="35">
        <f t="shared" ref="A90:A99" si="28">A89</f>
        <v>2031</v>
      </c>
      <c r="B90" s="8">
        <f t="shared" si="13"/>
        <v>47818</v>
      </c>
      <c r="C90" s="8">
        <f t="shared" si="26"/>
        <v>47848</v>
      </c>
      <c r="D90">
        <v>1</v>
      </c>
      <c r="E90" s="36">
        <f t="shared" si="25"/>
        <v>9515</v>
      </c>
      <c r="F90" s="36">
        <f t="shared" si="25"/>
        <v>883.96506874767749</v>
      </c>
      <c r="H90" s="38">
        <f t="shared" si="22"/>
        <v>138</v>
      </c>
      <c r="I90" s="36"/>
      <c r="J90" s="39">
        <f t="shared" si="27"/>
        <v>18.816036750000002</v>
      </c>
      <c r="K90" s="36">
        <f t="shared" si="5"/>
        <v>1313070</v>
      </c>
      <c r="L90" s="38">
        <f t="shared" si="6"/>
        <v>179034.58967625003</v>
      </c>
      <c r="M90" s="40">
        <f t="shared" si="12"/>
        <v>1492104.58967625</v>
      </c>
      <c r="N90" s="36"/>
      <c r="O90" s="50"/>
    </row>
    <row r="91" spans="1:15" x14ac:dyDescent="0.35">
      <c r="A91" s="35">
        <f t="shared" si="28"/>
        <v>2031</v>
      </c>
      <c r="B91" s="8">
        <f t="shared" si="13"/>
        <v>47849</v>
      </c>
      <c r="C91" s="8">
        <f>B91+30</f>
        <v>47879</v>
      </c>
      <c r="D91">
        <v>1</v>
      </c>
      <c r="E91" s="36">
        <f t="shared" si="25"/>
        <v>9515</v>
      </c>
      <c r="F91" s="36">
        <f t="shared" si="25"/>
        <v>883.96506874767749</v>
      </c>
      <c r="H91" s="38">
        <f t="shared" si="22"/>
        <v>138</v>
      </c>
      <c r="I91" s="36"/>
      <c r="J91" s="39">
        <f t="shared" si="27"/>
        <v>18.816036750000002</v>
      </c>
      <c r="K91" s="36">
        <f t="shared" si="5"/>
        <v>1313070</v>
      </c>
      <c r="L91" s="38">
        <f t="shared" si="6"/>
        <v>179034.58967625003</v>
      </c>
      <c r="M91" s="40">
        <f t="shared" si="12"/>
        <v>1492104.58967625</v>
      </c>
      <c r="N91" s="36"/>
      <c r="O91" s="50"/>
    </row>
    <row r="92" spans="1:15" x14ac:dyDescent="0.35">
      <c r="A92" s="35">
        <f t="shared" si="28"/>
        <v>2031</v>
      </c>
      <c r="B92" s="8">
        <f t="shared" si="13"/>
        <v>47880</v>
      </c>
      <c r="C92" s="8">
        <f>B92+30-3</f>
        <v>47907</v>
      </c>
      <c r="D92">
        <v>1</v>
      </c>
      <c r="E92" s="36">
        <f t="shared" si="25"/>
        <v>9515</v>
      </c>
      <c r="F92" s="36">
        <f t="shared" si="25"/>
        <v>883.96506874767749</v>
      </c>
      <c r="H92" s="38">
        <f t="shared" si="22"/>
        <v>138</v>
      </c>
      <c r="I92" s="36"/>
      <c r="J92" s="39">
        <f>J91*1.05</f>
        <v>19.756838587500003</v>
      </c>
      <c r="K92" s="36">
        <f t="shared" si="5"/>
        <v>1313070</v>
      </c>
      <c r="L92" s="38">
        <f t="shared" si="6"/>
        <v>187986.31916006253</v>
      </c>
      <c r="M92" s="40">
        <f t="shared" si="12"/>
        <v>1501056.3191600626</v>
      </c>
      <c r="N92" s="36"/>
      <c r="O92" s="50"/>
    </row>
    <row r="93" spans="1:15" x14ac:dyDescent="0.35">
      <c r="A93" s="35">
        <f t="shared" si="28"/>
        <v>2031</v>
      </c>
      <c r="B93" s="8">
        <f t="shared" si="13"/>
        <v>47908</v>
      </c>
      <c r="C93" s="8">
        <f>B93+30</f>
        <v>47938</v>
      </c>
      <c r="D93">
        <v>1</v>
      </c>
      <c r="E93" s="36">
        <f t="shared" si="25"/>
        <v>9515</v>
      </c>
      <c r="F93" s="36">
        <f t="shared" si="25"/>
        <v>883.96506874767749</v>
      </c>
      <c r="H93" s="38">
        <f t="shared" si="22"/>
        <v>138</v>
      </c>
      <c r="I93" s="36"/>
      <c r="J93" s="39">
        <f t="shared" ref="J93:J102" si="29">J92</f>
        <v>19.756838587500003</v>
      </c>
      <c r="K93" s="36">
        <f t="shared" si="5"/>
        <v>1313070</v>
      </c>
      <c r="L93" s="38">
        <f t="shared" si="6"/>
        <v>187986.31916006253</v>
      </c>
      <c r="M93" s="40">
        <f t="shared" si="12"/>
        <v>1501056.3191600626</v>
      </c>
      <c r="N93" s="36"/>
      <c r="O93" s="50"/>
    </row>
    <row r="94" spans="1:15" x14ac:dyDescent="0.35">
      <c r="A94" s="35">
        <f t="shared" si="28"/>
        <v>2031</v>
      </c>
      <c r="B94" s="8">
        <f t="shared" si="13"/>
        <v>47939</v>
      </c>
      <c r="C94" s="8">
        <f>B94+30-1</f>
        <v>47968</v>
      </c>
      <c r="D94">
        <v>1</v>
      </c>
      <c r="E94" s="36">
        <f t="shared" si="25"/>
        <v>9515</v>
      </c>
      <c r="F94" s="36">
        <f t="shared" si="25"/>
        <v>883.96506874767749</v>
      </c>
      <c r="H94" s="38">
        <f t="shared" si="22"/>
        <v>138</v>
      </c>
      <c r="I94" s="36"/>
      <c r="J94" s="39">
        <f t="shared" si="29"/>
        <v>19.756838587500003</v>
      </c>
      <c r="K94" s="36">
        <f t="shared" si="5"/>
        <v>1313070</v>
      </c>
      <c r="L94" s="38">
        <f t="shared" si="6"/>
        <v>187986.31916006253</v>
      </c>
      <c r="M94" s="40">
        <f t="shared" si="12"/>
        <v>1501056.3191600626</v>
      </c>
      <c r="N94" s="36"/>
      <c r="O94" s="50"/>
    </row>
    <row r="95" spans="1:15" x14ac:dyDescent="0.35">
      <c r="A95" s="35">
        <f t="shared" si="28"/>
        <v>2031</v>
      </c>
      <c r="B95" s="8">
        <f t="shared" si="13"/>
        <v>47969</v>
      </c>
      <c r="C95" s="8">
        <f>B95+30</f>
        <v>47999</v>
      </c>
      <c r="D95">
        <v>1</v>
      </c>
      <c r="E95" s="36">
        <f t="shared" si="25"/>
        <v>9515</v>
      </c>
      <c r="F95" s="36">
        <f t="shared" si="25"/>
        <v>883.96506874767749</v>
      </c>
      <c r="H95" s="38">
        <f t="shared" si="22"/>
        <v>138</v>
      </c>
      <c r="I95" s="36"/>
      <c r="J95" s="39">
        <f t="shared" si="29"/>
        <v>19.756838587500003</v>
      </c>
      <c r="K95" s="36">
        <f t="shared" ref="K95:K102" si="30">H95*E95</f>
        <v>1313070</v>
      </c>
      <c r="L95" s="38">
        <f t="shared" ref="L95:L102" si="31">J95*E95</f>
        <v>187986.31916006253</v>
      </c>
      <c r="M95" s="40">
        <f t="shared" si="12"/>
        <v>1501056.3191600626</v>
      </c>
      <c r="N95" s="36"/>
      <c r="O95" s="50"/>
    </row>
    <row r="96" spans="1:15" x14ac:dyDescent="0.35">
      <c r="A96" s="35">
        <f t="shared" si="28"/>
        <v>2031</v>
      </c>
      <c r="B96" s="8">
        <f t="shared" si="13"/>
        <v>48000</v>
      </c>
      <c r="C96" s="8">
        <f>B96+30-1</f>
        <v>48029</v>
      </c>
      <c r="D96">
        <v>1</v>
      </c>
      <c r="E96" s="36">
        <f t="shared" si="25"/>
        <v>9515</v>
      </c>
      <c r="F96" s="36">
        <f t="shared" si="25"/>
        <v>883.96506874767749</v>
      </c>
      <c r="H96" s="38">
        <f t="shared" si="22"/>
        <v>138</v>
      </c>
      <c r="I96" s="36"/>
      <c r="J96" s="39">
        <f t="shared" si="29"/>
        <v>19.756838587500003</v>
      </c>
      <c r="K96" s="36">
        <f t="shared" si="30"/>
        <v>1313070</v>
      </c>
      <c r="L96" s="38">
        <f t="shared" si="31"/>
        <v>187986.31916006253</v>
      </c>
      <c r="M96" s="40">
        <f t="shared" si="12"/>
        <v>1501056.3191600626</v>
      </c>
      <c r="N96" s="36"/>
      <c r="O96" s="50"/>
    </row>
    <row r="97" spans="1:15" x14ac:dyDescent="0.35">
      <c r="A97" s="35">
        <f t="shared" si="28"/>
        <v>2031</v>
      </c>
      <c r="B97" s="8">
        <f t="shared" si="13"/>
        <v>48030</v>
      </c>
      <c r="C97" s="8">
        <f t="shared" ref="C97:C102" si="32">B97+30</f>
        <v>48060</v>
      </c>
      <c r="D97">
        <v>1</v>
      </c>
      <c r="E97" s="36">
        <f t="shared" ref="E97:F102" si="33">E96</f>
        <v>9515</v>
      </c>
      <c r="F97" s="36">
        <f t="shared" si="33"/>
        <v>883.96506874767749</v>
      </c>
      <c r="H97" s="38">
        <f t="shared" si="22"/>
        <v>138</v>
      </c>
      <c r="I97" s="36"/>
      <c r="J97" s="39">
        <f t="shared" si="29"/>
        <v>19.756838587500003</v>
      </c>
      <c r="K97" s="36">
        <f t="shared" si="30"/>
        <v>1313070</v>
      </c>
      <c r="L97" s="38">
        <f t="shared" si="31"/>
        <v>187986.31916006253</v>
      </c>
      <c r="M97" s="40">
        <f t="shared" si="12"/>
        <v>1501056.3191600626</v>
      </c>
      <c r="N97" s="36"/>
      <c r="O97" s="50"/>
    </row>
    <row r="98" spans="1:15" x14ac:dyDescent="0.35">
      <c r="A98" s="35">
        <f t="shared" si="28"/>
        <v>2031</v>
      </c>
      <c r="B98" s="8">
        <f t="shared" si="13"/>
        <v>48061</v>
      </c>
      <c r="C98" s="8">
        <f t="shared" si="32"/>
        <v>48091</v>
      </c>
      <c r="D98">
        <v>1</v>
      </c>
      <c r="E98" s="36">
        <f t="shared" si="33"/>
        <v>9515</v>
      </c>
      <c r="F98" s="36">
        <f t="shared" si="33"/>
        <v>883.96506874767749</v>
      </c>
      <c r="H98" s="38">
        <f t="shared" si="22"/>
        <v>138</v>
      </c>
      <c r="I98" s="36"/>
      <c r="J98" s="39">
        <f t="shared" si="29"/>
        <v>19.756838587500003</v>
      </c>
      <c r="K98" s="36">
        <f t="shared" si="30"/>
        <v>1313070</v>
      </c>
      <c r="L98" s="38">
        <f t="shared" si="31"/>
        <v>187986.31916006253</v>
      </c>
      <c r="M98" s="40">
        <f t="shared" si="12"/>
        <v>1501056.3191600626</v>
      </c>
      <c r="N98" s="36"/>
      <c r="O98" s="50"/>
    </row>
    <row r="99" spans="1:15" ht="15" thickBot="1" x14ac:dyDescent="0.4">
      <c r="A99" s="43">
        <f t="shared" si="28"/>
        <v>2031</v>
      </c>
      <c r="B99" s="44">
        <f t="shared" si="13"/>
        <v>48092</v>
      </c>
      <c r="C99" s="44">
        <f>B99+30-1</f>
        <v>48121</v>
      </c>
      <c r="D99" s="45">
        <v>1</v>
      </c>
      <c r="E99" s="46">
        <f t="shared" si="33"/>
        <v>9515</v>
      </c>
      <c r="F99" s="46">
        <f t="shared" si="33"/>
        <v>883.96506874767749</v>
      </c>
      <c r="G99" s="45"/>
      <c r="H99" s="47">
        <f t="shared" si="22"/>
        <v>138</v>
      </c>
      <c r="I99" s="46"/>
      <c r="J99" s="48">
        <f t="shared" si="29"/>
        <v>19.756838587500003</v>
      </c>
      <c r="K99" s="46">
        <f t="shared" si="30"/>
        <v>1313070</v>
      </c>
      <c r="L99" s="47">
        <f t="shared" si="31"/>
        <v>187986.31916006253</v>
      </c>
      <c r="M99" s="49">
        <f t="shared" si="12"/>
        <v>1501056.3191600626</v>
      </c>
      <c r="N99" s="46">
        <f>SUM(K88:K99)</f>
        <v>15756840</v>
      </c>
      <c r="O99" s="51">
        <f>SUM(L88:L99)</f>
        <v>2220028.9119855007</v>
      </c>
    </row>
    <row r="100" spans="1:15" x14ac:dyDescent="0.35">
      <c r="A100" s="25">
        <f>A99+1</f>
        <v>2032</v>
      </c>
      <c r="B100" s="26">
        <f t="shared" si="13"/>
        <v>48122</v>
      </c>
      <c r="C100" s="26">
        <f t="shared" si="32"/>
        <v>48152</v>
      </c>
      <c r="D100" s="27">
        <v>1</v>
      </c>
      <c r="E100" s="28">
        <f t="shared" si="33"/>
        <v>9515</v>
      </c>
      <c r="F100" s="28">
        <f t="shared" si="33"/>
        <v>883.96506874767749</v>
      </c>
      <c r="G100" s="27"/>
      <c r="H100" s="30">
        <f t="shared" si="22"/>
        <v>138</v>
      </c>
      <c r="I100" s="28"/>
      <c r="J100" s="31">
        <f t="shared" si="29"/>
        <v>19.756838587500003</v>
      </c>
      <c r="K100" s="28">
        <f t="shared" si="30"/>
        <v>1313070</v>
      </c>
      <c r="L100" s="30">
        <f t="shared" si="31"/>
        <v>187986.31916006253</v>
      </c>
      <c r="M100" s="32">
        <f t="shared" si="12"/>
        <v>1501056.3191600626</v>
      </c>
      <c r="N100" s="28"/>
      <c r="O100" s="52"/>
    </row>
    <row r="101" spans="1:15" x14ac:dyDescent="0.35">
      <c r="A101" s="35">
        <f t="shared" ref="A101:A102" si="34">A100</f>
        <v>2032</v>
      </c>
      <c r="B101" s="8">
        <f t="shared" si="13"/>
        <v>48153</v>
      </c>
      <c r="C101" s="8">
        <f>B101+30-1</f>
        <v>48182</v>
      </c>
      <c r="D101">
        <v>1</v>
      </c>
      <c r="E101" s="36">
        <f t="shared" si="33"/>
        <v>9515</v>
      </c>
      <c r="F101" s="36">
        <f t="shared" si="33"/>
        <v>883.96506874767749</v>
      </c>
      <c r="H101" s="38">
        <f t="shared" si="22"/>
        <v>138</v>
      </c>
      <c r="I101" s="36"/>
      <c r="J101" s="39">
        <f t="shared" si="29"/>
        <v>19.756838587500003</v>
      </c>
      <c r="K101" s="36">
        <f t="shared" si="30"/>
        <v>1313070</v>
      </c>
      <c r="L101" s="38">
        <f t="shared" si="31"/>
        <v>187986.31916006253</v>
      </c>
      <c r="M101" s="40">
        <f t="shared" si="12"/>
        <v>1501056.3191600626</v>
      </c>
      <c r="N101" s="36"/>
      <c r="O101" s="50"/>
    </row>
    <row r="102" spans="1:15" ht="15" thickBot="1" x14ac:dyDescent="0.4">
      <c r="A102" s="43">
        <f t="shared" si="34"/>
        <v>2032</v>
      </c>
      <c r="B102" s="44">
        <f t="shared" si="13"/>
        <v>48183</v>
      </c>
      <c r="C102" s="44">
        <f t="shared" si="32"/>
        <v>48213</v>
      </c>
      <c r="D102" s="45">
        <v>1</v>
      </c>
      <c r="E102" s="46">
        <f t="shared" si="33"/>
        <v>9515</v>
      </c>
      <c r="F102" s="46">
        <f t="shared" si="33"/>
        <v>883.96506874767749</v>
      </c>
      <c r="G102" s="45"/>
      <c r="H102" s="47">
        <f t="shared" si="22"/>
        <v>138</v>
      </c>
      <c r="I102" s="46"/>
      <c r="J102" s="48">
        <f t="shared" si="29"/>
        <v>19.756838587500003</v>
      </c>
      <c r="K102" s="46">
        <f t="shared" si="30"/>
        <v>1313070</v>
      </c>
      <c r="L102" s="47">
        <f t="shared" si="31"/>
        <v>187986.31916006253</v>
      </c>
      <c r="M102" s="49">
        <f t="shared" ref="M102" si="35">I102+K102+L102</f>
        <v>1501056.3191600626</v>
      </c>
      <c r="N102" s="46">
        <f>SUM(K100:K102)</f>
        <v>3939210</v>
      </c>
      <c r="O102" s="51">
        <f>SUM(L100:L102)</f>
        <v>563958.95748018753</v>
      </c>
    </row>
    <row r="103" spans="1:15" x14ac:dyDescent="0.35">
      <c r="K103" s="70">
        <f>SUM(K31:K102)</f>
        <v>88375320</v>
      </c>
      <c r="L103" s="70">
        <f>SUM(L31:L102)</f>
        <v>11989849.791700691</v>
      </c>
      <c r="M103" s="70">
        <f t="shared" ref="M103:O103" si="36">SUM(M31:M102)</f>
        <v>100365169.79170056</v>
      </c>
      <c r="N103" s="70">
        <f t="shared" si="36"/>
        <v>88375320</v>
      </c>
      <c r="O103" s="70">
        <f t="shared" si="36"/>
        <v>11989849.791700691</v>
      </c>
    </row>
  </sheetData>
  <pageMargins left="0.7" right="0.7" top="0.75" bottom="0.75" header="0.3" footer="0.3"/>
  <pageSetup paperSize="9" orientation="portrait" horizontalDpi="300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Security Deposit</vt:lpstr>
      <vt:lpstr>Lease 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Pathak, Bibhas Kumar (SRE IWS SBT GVT)</dc:creator>
  <cp:lastModifiedBy>Pathak, Bibhas Kumar (SRE IWS SBT GVT)</cp:lastModifiedBy>
  <dcterms:created xsi:type="dcterms:W3CDTF">2026-05-26T08:25:27Z</dcterms:created>
  <dcterms:modified xsi:type="dcterms:W3CDTF">2026-05-26T17:08:10Z</dcterms:modified>
</cp:coreProperties>
</file>